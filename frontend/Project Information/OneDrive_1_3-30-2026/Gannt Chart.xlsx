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codeName="ThisWorkbook"/>
  <mc:AlternateContent xmlns:mc="http://schemas.openxmlformats.org/markup-compatibility/2006">
    <mc:Choice Requires="x15">
      <x15ac:absPath xmlns:x15ac="http://schemas.microsoft.com/office/spreadsheetml/2010/11/ac" url="C:\Users\mlwat\Dropbox (Personal)\Client Folders\Microsoft\Microsoft Office Template Project\02_Template Sent for MS Review\Rapid Refresh Batch B78\"/>
    </mc:Choice>
  </mc:AlternateContent>
  <xr:revisionPtr revIDLastSave="460" documentId="11_3C4179B01545E19DD6C385890107473B0B440F85" xr6:coauthVersionLast="47" xr6:coauthVersionMax="47" xr10:uidLastSave="{A6A487E0-A83B-4DBF-B055-E51D363EB007}"/>
  <bookViews>
    <workbookView xWindow="-108" yWindow="-108" windowWidth="23256" windowHeight="12720" xr2:uid="{00000000-000D-0000-FFFF-FFFF00000000}"/>
  </bookViews>
  <sheets>
    <sheet name="Project schedule" sheetId="11" r:id="rId1"/>
    <sheet name="About" sheetId="12" r:id="rId2"/>
    <sheet name="Sheet1" sheetId="13" r:id="rId3"/>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3" i="11" l="1"/>
  <c r="H42" i="11"/>
  <c r="H41" i="11"/>
  <c r="H35" i="11"/>
  <c r="H34" i="11"/>
  <c r="H33" i="11"/>
  <c r="H36" i="11"/>
  <c r="H37" i="11"/>
  <c r="H39" i="11"/>
  <c r="H38" i="11"/>
  <c r="H31" i="11"/>
  <c r="H30" i="11"/>
  <c r="H29" i="11"/>
  <c r="H28" i="11"/>
  <c r="Q1" i="11"/>
  <c r="H7" i="11"/>
  <c r="I5" i="11" l="1"/>
  <c r="H24" i="11"/>
  <c r="H19" i="11"/>
  <c r="H14" i="11"/>
  <c r="H8" i="11"/>
  <c r="H20" i="11" l="1"/>
  <c r="H21" i="11"/>
  <c r="H9" i="11"/>
  <c r="I6" i="11"/>
  <c r="H26" i="11" l="1"/>
  <c r="H25" i="11"/>
  <c r="H10" i="11"/>
  <c r="H22" i="11"/>
  <c r="H15" i="11"/>
  <c r="H13" i="11"/>
  <c r="J5" i="11"/>
  <c r="K5" i="11" s="1"/>
  <c r="L5" i="11" s="1"/>
  <c r="M5" i="11" s="1"/>
  <c r="N5" i="11" s="1"/>
  <c r="O5" i="11" s="1"/>
  <c r="P5" i="11" s="1"/>
  <c r="I4" i="11"/>
  <c r="H27" i="11" l="1"/>
  <c r="H23" i="11"/>
  <c r="H16" i="11"/>
  <c r="H11" i="11"/>
  <c r="H12" i="11"/>
  <c r="P4" i="11"/>
  <c r="Q5" i="11"/>
  <c r="R5" i="11" s="1"/>
  <c r="S5" i="11" s="1"/>
  <c r="T5" i="11" s="1"/>
  <c r="U5" i="11" s="1"/>
  <c r="V5" i="11" s="1"/>
  <c r="W5" i="11" s="1"/>
  <c r="J6" i="11"/>
  <c r="H18" i="11" l="1"/>
  <c r="H17"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<sst xmlns="http://schemas.openxmlformats.org/spreadsheetml/2006/main" count="91" uniqueCount="73">
  <si>
    <t>Starting XI</t>
  </si>
  <si>
    <t>Project start:</t>
  </si>
  <si>
    <t>Project Manager:</t>
  </si>
  <si>
    <t>Kevin Donohue</t>
  </si>
  <si>
    <t>Display week:</t>
  </si>
  <si>
    <t>Team Members:</t>
  </si>
  <si>
    <t>Zac Corneliussen, Julian Garcia, Rahul Rathore</t>
  </si>
  <si>
    <t>TASK</t>
  </si>
  <si>
    <t>ASSIGNED TO</t>
  </si>
  <si>
    <t>PROGRESS</t>
  </si>
  <si>
    <t>START</t>
  </si>
  <si>
    <t>END</t>
  </si>
  <si>
    <t xml:space="preserve">Do not delete this row. This row is hidden to preserve a formula that is used to highlight the current day within the project schedule. </t>
  </si>
  <si>
    <t>1. Planning &amp; Research</t>
  </si>
  <si>
    <t>1.1 Define requirements</t>
  </si>
  <si>
    <t>Team</t>
  </si>
  <si>
    <t>1.2 Market Research</t>
  </si>
  <si>
    <t>Kevin</t>
  </si>
  <si>
    <t>1.3 Empathy Interviews</t>
  </si>
  <si>
    <t>Zac + Julian</t>
  </si>
  <si>
    <t>1.4 Proposal Revision</t>
  </si>
  <si>
    <t>1.5 Final Sign-Off Prep</t>
  </si>
  <si>
    <t>2. Data Engineering</t>
  </si>
  <si>
    <t>2.1 Athlete Profile Schema</t>
  </si>
  <si>
    <t>Julian + Kevin</t>
  </si>
  <si>
    <t>2.2 Data Validation &amp; Normalization</t>
  </si>
  <si>
    <t>Julian</t>
  </si>
  <si>
    <t>2.3 Benchmark Scraper</t>
  </si>
  <si>
    <t>2.4 Benchmark Normalization</t>
  </si>
  <si>
    <t>3. Back-End Infrasturcture</t>
  </si>
  <si>
    <t>3.1 Auth Backend Logic</t>
  </si>
  <si>
    <t>3.2 Core APIs</t>
  </si>
  <si>
    <t>3.3 Validation Layer</t>
  </si>
  <si>
    <t>3.4 Security Controls</t>
  </si>
  <si>
    <t>4. Fit Evaluation Engine</t>
  </si>
  <si>
    <t>4.1 Comparison Logic</t>
  </si>
  <si>
    <t xml:space="preserve">Zac </t>
  </si>
  <si>
    <t>4.2 Strength/Weakness Generator</t>
  </si>
  <si>
    <t>Zac</t>
  </si>
  <si>
    <t>4.3 Division Recommendation</t>
  </si>
  <si>
    <t>5. Front-End UI Development</t>
  </si>
  <si>
    <t>5.1 Auth UI Screens</t>
  </si>
  <si>
    <t>Rahul</t>
  </si>
  <si>
    <t>5.2 Profile intake Forms</t>
  </si>
  <si>
    <t>5.3 Results Display UI</t>
  </si>
  <si>
    <t>5.4 Program Match Placeholder (Stretch 1)</t>
  </si>
  <si>
    <t>6. Initial E2E Testing</t>
  </si>
  <si>
    <t>6.1 End-to-End Data Flow</t>
  </si>
  <si>
    <t>6.2 Pre-Evaluation Bug Fixes</t>
  </si>
  <si>
    <t>7. Main Development + Stretch</t>
  </si>
  <si>
    <t>7.1 Visualization Dashboard</t>
  </si>
  <si>
    <t>Julian + Zac</t>
  </si>
  <si>
    <t>7.2 Program Insights</t>
  </si>
  <si>
    <t>7.3 Improvement Library</t>
  </si>
  <si>
    <t>7.4 UI Performance Optimization</t>
  </si>
  <si>
    <t>Rahul + Zac</t>
  </si>
  <si>
    <t>8. Final Stretch &amp; QA</t>
  </si>
  <si>
    <t>8.1 QA Fixes</t>
  </si>
  <si>
    <t>8.2 Poster and Showcase Prep</t>
  </si>
  <si>
    <t>SIMPLE GANTT CHART by Vertex42.com</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</si>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</sst>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8">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
      <b/>
      <sz val="12"/>
      <color theme="9"/>
      <name val="Arial"/>
      <family val="2"/>
      <scheme val="minor"/>
    </font>
  </fonts>
  <fills count="22">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rgb="FFFF0000"/>
        <bgColor indexed="64"/>
      </patternFill>
    </fill>
    <fill>
      <patternFill patternType="solid">
        <fgColor rgb="FFFFABAB"/>
        <bgColor indexed="64"/>
      </patternFill>
    </fill>
    <fill>
      <patternFill patternType="solid">
        <fgColor theme="0"/>
        <bgColor indexed="64"/>
      </patternFill>
    </fill>
  </fills>
  <borders count="21">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1"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49">
    <xf numFmtId="0" fontId="0" fillId="0" borderId="0" xfId="0"/>
    <xf numFmtId="0" fontId="1" fillId="0" borderId="0" xfId="0" applyFont="1"/>
    <xf numFmtId="0" fontId="0" fillId="0" borderId="0" xfId="0" applyAlignment="1">
      <alignment horizontal="center"/>
    </xf>
    <xf numFmtId="0" fontId="3" fillId="0" borderId="1" xfId="0" applyFont="1" applyBorder="1" applyAlignment="1">
      <alignment horizontal="center" vertical="center"/>
    </xf>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11" fillId="0" borderId="0" xfId="3"/>
    <xf numFmtId="0" fontId="11" fillId="0" borderId="0" xfId="3" applyAlignment="1">
      <alignment wrapText="1"/>
    </xf>
    <xf numFmtId="0" fontId="3" fillId="0" borderId="0" xfId="0" applyFont="1" applyAlignment="1">
      <alignment horizontal="center" vertical="center"/>
    </xf>
    <xf numFmtId="0" fontId="13" fillId="0" borderId="0" xfId="0" applyFont="1"/>
    <xf numFmtId="0" fontId="12" fillId="0" borderId="0" xfId="0" applyFont="1"/>
    <xf numFmtId="0" fontId="12" fillId="0" borderId="0" xfId="0" applyFont="1" applyAlignment="1">
      <alignment horizontal="center"/>
    </xf>
    <xf numFmtId="0" fontId="12" fillId="0" borderId="0" xfId="0" applyFont="1" applyAlignment="1">
      <alignment horizontal="center" vertical="center"/>
    </xf>
    <xf numFmtId="0" fontId="14" fillId="0" borderId="0" xfId="0" applyFont="1"/>
    <xf numFmtId="0" fontId="14" fillId="0" borderId="0" xfId="0" applyFont="1" applyAlignment="1">
      <alignment horizontal="center"/>
    </xf>
    <xf numFmtId="0" fontId="15" fillId="0" borderId="0" xfId="0" applyFont="1"/>
    <xf numFmtId="0" fontId="4" fillId="0" borderId="0" xfId="0" applyFont="1"/>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18" fillId="12" borderId="19" xfId="0" applyNumberFormat="1" applyFont="1" applyFill="1" applyBorder="1" applyAlignment="1">
      <alignment horizontal="center" vertical="center"/>
    </xf>
    <xf numFmtId="167" fontId="18" fillId="12" borderId="17" xfId="0" applyNumberFormat="1" applyFont="1" applyFill="1" applyBorder="1" applyAlignment="1">
      <alignment horizontal="center" vertical="center"/>
    </xf>
    <xf numFmtId="167" fontId="18" fillId="12" borderId="18" xfId="0" applyNumberFormat="1" applyFont="1" applyFill="1" applyBorder="1" applyAlignment="1">
      <alignment horizontal="center" vertical="center"/>
    </xf>
    <xf numFmtId="0" fontId="19" fillId="2" borderId="16" xfId="0" applyFont="1" applyFill="1" applyBorder="1" applyAlignment="1">
      <alignment horizontal="center" vertical="center" shrinkToFit="1"/>
    </xf>
    <xf numFmtId="0" fontId="19" fillId="2" borderId="13" xfId="0" applyFont="1" applyFill="1" applyBorder="1" applyAlignment="1">
      <alignment horizontal="center" vertical="center" shrinkToFit="1"/>
    </xf>
    <xf numFmtId="0" fontId="19" fillId="2" borderId="14" xfId="0" applyFont="1" applyFill="1" applyBorder="1" applyAlignment="1">
      <alignment horizontal="center" vertical="center" shrinkToFit="1"/>
    </xf>
    <xf numFmtId="0" fontId="16" fillId="0" borderId="0" xfId="0" applyFont="1"/>
    <xf numFmtId="0" fontId="16" fillId="0" borderId="0" xfId="0" applyFont="1" applyAlignment="1">
      <alignment wrapText="1"/>
    </xf>
    <xf numFmtId="0" fontId="4" fillId="0" borderId="3" xfId="0" applyFont="1" applyBorder="1" applyAlignment="1">
      <alignment vertical="center"/>
    </xf>
    <xf numFmtId="0" fontId="20" fillId="6" borderId="0" xfId="0" applyFont="1" applyFill="1" applyAlignment="1">
      <alignment horizontal="left" vertical="center" indent="1"/>
    </xf>
    <xf numFmtId="0" fontId="16" fillId="6" borderId="0" xfId="11" applyFont="1" applyFill="1" applyBorder="1" applyAlignment="1">
      <alignment vertical="center"/>
    </xf>
    <xf numFmtId="9" fontId="1" fillId="6" borderId="0" xfId="2" applyFont="1" applyFill="1" applyBorder="1" applyAlignment="1">
      <alignment horizontal="center" vertical="center"/>
    </xf>
    <xf numFmtId="164" fontId="16"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0" xfId="0" applyFont="1" applyAlignment="1">
      <alignment vertical="center"/>
    </xf>
    <xf numFmtId="0" fontId="16" fillId="3" borderId="6" xfId="12" applyFont="1" applyFill="1" applyBorder="1">
      <alignment horizontal="left" vertical="center" indent="2"/>
    </xf>
    <xf numFmtId="0" fontId="16" fillId="3" borderId="6" xfId="11" applyFont="1" applyFill="1" applyBorder="1" applyAlignment="1">
      <alignment vertical="center"/>
    </xf>
    <xf numFmtId="9" fontId="1" fillId="3" borderId="6" xfId="2" applyFont="1" applyFill="1" applyBorder="1" applyAlignment="1">
      <alignment horizontal="center" vertical="center"/>
    </xf>
    <xf numFmtId="164" fontId="16" fillId="3" borderId="6" xfId="10" applyFont="1" applyFill="1" applyBorder="1">
      <alignment horizontal="center" vertical="center"/>
    </xf>
    <xf numFmtId="0" fontId="4" fillId="0" borderId="4" xfId="0" applyFont="1" applyBorder="1" applyAlignment="1">
      <alignment vertical="center"/>
    </xf>
    <xf numFmtId="0" fontId="16" fillId="3" borderId="7" xfId="12" applyFont="1" applyFill="1" applyBorder="1">
      <alignment horizontal="left" vertical="center" indent="2"/>
    </xf>
    <xf numFmtId="0" fontId="16" fillId="3" borderId="7" xfId="11" applyFont="1" applyFill="1" applyBorder="1" applyAlignment="1">
      <alignment vertical="center"/>
    </xf>
    <xf numFmtId="9" fontId="1" fillId="3" borderId="7" xfId="2" applyFont="1" applyFill="1" applyBorder="1" applyAlignment="1">
      <alignment horizontal="center" vertical="center"/>
    </xf>
    <xf numFmtId="164" fontId="16" fillId="3" borderId="7" xfId="10" applyFont="1" applyFill="1" applyBorder="1">
      <alignment horizontal="center" vertical="center"/>
    </xf>
    <xf numFmtId="0" fontId="4" fillId="0" borderId="4" xfId="0" applyFont="1" applyBorder="1" applyAlignment="1">
      <alignment horizontal="right" vertical="center"/>
    </xf>
    <xf numFmtId="0" fontId="20" fillId="7" borderId="0" xfId="0" applyFont="1" applyFill="1" applyAlignment="1">
      <alignment horizontal="left" vertical="center" indent="1"/>
    </xf>
    <xf numFmtId="0" fontId="16" fillId="7" borderId="0" xfId="11" applyFont="1" applyFill="1" applyBorder="1" applyAlignment="1">
      <alignment vertical="center"/>
    </xf>
    <xf numFmtId="9" fontId="1" fillId="7" borderId="0" xfId="2" applyFont="1" applyFill="1" applyBorder="1" applyAlignment="1">
      <alignment horizontal="center" vertical="center"/>
    </xf>
    <xf numFmtId="164" fontId="16"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6" fillId="4" borderId="5" xfId="12" applyFont="1" applyFill="1" applyBorder="1">
      <alignment horizontal="left" vertical="center" indent="2"/>
    </xf>
    <xf numFmtId="0" fontId="16" fillId="4" borderId="5" xfId="11" applyFont="1" applyFill="1" applyBorder="1" applyAlignment="1">
      <alignment vertical="center"/>
    </xf>
    <xf numFmtId="9" fontId="1" fillId="4" borderId="5" xfId="2" applyFont="1" applyFill="1" applyBorder="1" applyAlignment="1">
      <alignment horizontal="center" vertical="center"/>
    </xf>
    <xf numFmtId="164" fontId="16" fillId="4" borderId="5" xfId="10" applyFont="1" applyFill="1" applyBorder="1">
      <alignment horizontal="center" vertical="center"/>
    </xf>
    <xf numFmtId="0" fontId="20" fillId="8" borderId="0" xfId="0" applyFont="1" applyFill="1" applyAlignment="1">
      <alignment horizontal="left" vertical="center" indent="1"/>
    </xf>
    <xf numFmtId="0" fontId="16" fillId="8" borderId="0" xfId="11" applyFont="1" applyFill="1" applyBorder="1" applyAlignment="1">
      <alignment vertical="center"/>
    </xf>
    <xf numFmtId="9" fontId="1" fillId="8" borderId="0" xfId="2" applyFont="1" applyFill="1" applyBorder="1" applyAlignment="1">
      <alignment horizontal="center" vertical="center"/>
    </xf>
    <xf numFmtId="164" fontId="16"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6" fillId="5" borderId="8" xfId="12" applyFont="1" applyFill="1" applyBorder="1">
      <alignment horizontal="left" vertical="center" indent="2"/>
    </xf>
    <xf numFmtId="0" fontId="16" fillId="5" borderId="8" xfId="11" applyFont="1" applyFill="1" applyBorder="1" applyAlignment="1">
      <alignment vertical="center"/>
    </xf>
    <xf numFmtId="9" fontId="1" fillId="5" borderId="8" xfId="2" applyFont="1" applyFill="1" applyBorder="1" applyAlignment="1">
      <alignment horizontal="center" vertical="center"/>
    </xf>
    <xf numFmtId="164" fontId="16" fillId="5" borderId="8" xfId="10" applyFont="1" applyFill="1" applyBorder="1">
      <alignment horizontal="center" vertical="center"/>
    </xf>
    <xf numFmtId="0" fontId="20" fillId="9" borderId="0" xfId="0" applyFont="1" applyFill="1" applyAlignment="1">
      <alignment horizontal="left" vertical="center" indent="1"/>
    </xf>
    <xf numFmtId="0" fontId="16" fillId="9" borderId="0" xfId="11" applyFont="1" applyFill="1" applyBorder="1" applyAlignment="1">
      <alignment vertical="center"/>
    </xf>
    <xf numFmtId="9" fontId="1" fillId="9" borderId="0" xfId="2" applyFont="1" applyFill="1" applyBorder="1" applyAlignment="1">
      <alignment horizontal="center" vertical="center"/>
    </xf>
    <xf numFmtId="164" fontId="16"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6" fillId="10" borderId="9" xfId="12" applyFont="1" applyFill="1" applyBorder="1">
      <alignment horizontal="left" vertical="center" indent="2"/>
    </xf>
    <xf numFmtId="0" fontId="16" fillId="10" borderId="9" xfId="11" applyFont="1" applyFill="1" applyBorder="1" applyAlignment="1">
      <alignment vertical="center"/>
    </xf>
    <xf numFmtId="9" fontId="1" fillId="10" borderId="9" xfId="2" applyFont="1" applyFill="1" applyBorder="1" applyAlignment="1">
      <alignment horizontal="center" vertical="center"/>
    </xf>
    <xf numFmtId="164" fontId="16" fillId="10" borderId="9" xfId="10" applyFont="1" applyFill="1" applyBorder="1">
      <alignment horizontal="center" vertical="center"/>
    </xf>
    <xf numFmtId="0" fontId="21" fillId="0" borderId="0" xfId="6" applyFont="1" applyAlignment="1">
      <alignment horizontal="left" vertical="center" indent="1"/>
    </xf>
    <xf numFmtId="0" fontId="24" fillId="0" borderId="0" xfId="5" applyFont="1" applyAlignment="1">
      <alignment horizontal="left"/>
    </xf>
    <xf numFmtId="0" fontId="7" fillId="0" borderId="0" xfId="0" applyFont="1" applyAlignment="1">
      <alignment horizontal="left" vertical="center" indent="1"/>
    </xf>
    <xf numFmtId="0" fontId="3" fillId="0" borderId="0" xfId="0" applyFont="1" applyAlignment="1">
      <alignment horizontal="left" vertical="top" indent="1"/>
    </xf>
    <xf numFmtId="0" fontId="21" fillId="0" borderId="0" xfId="0" applyFont="1" applyAlignment="1">
      <alignment horizontal="left" vertical="center" indent="1"/>
    </xf>
    <xf numFmtId="0" fontId="25" fillId="0" borderId="0" xfId="0" applyFont="1" applyAlignment="1">
      <alignment horizontal="left" vertical="top" wrapText="1" indent="1"/>
    </xf>
    <xf numFmtId="0" fontId="0" fillId="0" borderId="0" xfId="0" applyAlignment="1">
      <alignment horizontal="left" vertical="top" wrapText="1" indent="1"/>
    </xf>
    <xf numFmtId="0" fontId="26" fillId="0" borderId="0" xfId="1" applyFont="1" applyAlignment="1" applyProtection="1">
      <alignment horizontal="left" vertical="top" indent="1"/>
    </xf>
    <xf numFmtId="0" fontId="1" fillId="0" borderId="0" xfId="0" applyFont="1" applyAlignment="1">
      <alignment horizontal="left" vertical="top" indent="1"/>
    </xf>
    <xf numFmtId="0" fontId="2" fillId="0" borderId="0" xfId="1" applyAlignment="1" applyProtection="1"/>
    <xf numFmtId="0" fontId="20" fillId="13" borderId="0" xfId="0" applyFont="1" applyFill="1" applyAlignment="1">
      <alignment horizontal="left" vertical="center" indent="1"/>
    </xf>
    <xf numFmtId="0" fontId="16" fillId="13" borderId="0" xfId="11" applyFont="1" applyFill="1" applyBorder="1" applyAlignment="1">
      <alignment vertical="center"/>
    </xf>
    <xf numFmtId="9" fontId="1" fillId="13" borderId="0" xfId="2" applyFont="1" applyFill="1" applyBorder="1" applyAlignment="1">
      <alignment horizontal="center" vertical="center"/>
    </xf>
    <xf numFmtId="164" fontId="16" fillId="13" borderId="0" xfId="0" applyNumberFormat="1" applyFont="1" applyFill="1" applyAlignment="1">
      <alignment horizontal="center" vertical="center"/>
    </xf>
    <xf numFmtId="164" fontId="1" fillId="13" borderId="0" xfId="0" applyNumberFormat="1" applyFont="1" applyFill="1" applyAlignment="1">
      <alignment horizontal="center" vertical="center"/>
    </xf>
    <xf numFmtId="0" fontId="16" fillId="14" borderId="9" xfId="12" applyFont="1" applyFill="1" applyBorder="1">
      <alignment horizontal="left" vertical="center" indent="2"/>
    </xf>
    <xf numFmtId="0" fontId="16" fillId="14" borderId="9" xfId="11" applyFont="1" applyFill="1" applyBorder="1" applyAlignment="1">
      <alignment vertical="center"/>
    </xf>
    <xf numFmtId="9" fontId="1" fillId="14" borderId="9" xfId="2" applyFont="1" applyFill="1" applyBorder="1" applyAlignment="1">
      <alignment horizontal="center" vertical="center"/>
    </xf>
    <xf numFmtId="164" fontId="16" fillId="14" borderId="9" xfId="10" applyFont="1" applyFill="1" applyBorder="1">
      <alignment horizontal="center" vertical="center"/>
    </xf>
    <xf numFmtId="0" fontId="16" fillId="14" borderId="0" xfId="12" applyFont="1" applyFill="1" applyBorder="1">
      <alignment horizontal="left" vertical="center" indent="2"/>
    </xf>
    <xf numFmtId="0" fontId="16" fillId="14" borderId="0" xfId="11" applyFont="1" applyFill="1" applyBorder="1" applyAlignment="1">
      <alignment vertical="center"/>
    </xf>
    <xf numFmtId="9" fontId="1" fillId="14" borderId="0" xfId="2" applyFont="1" applyFill="1" applyBorder="1" applyAlignment="1">
      <alignment horizontal="center" vertical="center"/>
    </xf>
    <xf numFmtId="164" fontId="16" fillId="14" borderId="0" xfId="10" applyFont="1" applyFill="1" applyBorder="1">
      <alignment horizontal="center" vertical="center"/>
    </xf>
    <xf numFmtId="0" fontId="20" fillId="15" borderId="0" xfId="0" applyFont="1" applyFill="1" applyAlignment="1">
      <alignment horizontal="left" vertical="center" indent="1"/>
    </xf>
    <xf numFmtId="0" fontId="16" fillId="15" borderId="0" xfId="11" applyFont="1" applyFill="1" applyBorder="1" applyAlignment="1">
      <alignment vertical="center"/>
    </xf>
    <xf numFmtId="9" fontId="1" fillId="15" borderId="0" xfId="2" applyFont="1" applyFill="1" applyBorder="1" applyAlignment="1">
      <alignment horizontal="center" vertical="center"/>
    </xf>
    <xf numFmtId="164" fontId="16" fillId="15" borderId="0" xfId="0" applyNumberFormat="1" applyFont="1" applyFill="1" applyAlignment="1">
      <alignment horizontal="center" vertical="center"/>
    </xf>
    <xf numFmtId="164" fontId="1" fillId="15" borderId="0" xfId="0" applyNumberFormat="1" applyFont="1" applyFill="1" applyAlignment="1">
      <alignment horizontal="center" vertical="center"/>
    </xf>
    <xf numFmtId="0" fontId="20" fillId="17" borderId="0" xfId="0" applyFont="1" applyFill="1" applyAlignment="1">
      <alignment horizontal="left" vertical="center" indent="1"/>
    </xf>
    <xf numFmtId="0" fontId="16" fillId="17" borderId="0" xfId="11" applyFont="1" applyFill="1" applyBorder="1" applyAlignment="1">
      <alignment vertical="center"/>
    </xf>
    <xf numFmtId="9" fontId="1" fillId="17" borderId="0" xfId="2" applyFont="1" applyFill="1" applyBorder="1" applyAlignment="1">
      <alignment horizontal="center" vertical="center"/>
    </xf>
    <xf numFmtId="164" fontId="16" fillId="17" borderId="0" xfId="0" applyNumberFormat="1" applyFont="1" applyFill="1" applyAlignment="1">
      <alignment horizontal="center" vertical="center"/>
    </xf>
    <xf numFmtId="164" fontId="1" fillId="17" borderId="0" xfId="0" applyNumberFormat="1" applyFont="1" applyFill="1" applyAlignment="1">
      <alignment horizontal="center" vertical="center"/>
    </xf>
    <xf numFmtId="0" fontId="27" fillId="0" borderId="0" xfId="6" applyFont="1" applyAlignment="1">
      <alignment horizontal="left" vertical="center" indent="1"/>
    </xf>
    <xf numFmtId="0" fontId="16" fillId="16" borderId="8" xfId="12" applyFont="1" applyFill="1" applyBorder="1">
      <alignment horizontal="left" vertical="center" indent="2"/>
    </xf>
    <xf numFmtId="0" fontId="16" fillId="16" borderId="8" xfId="11" applyFont="1" applyFill="1" applyBorder="1" applyAlignment="1">
      <alignment vertical="center"/>
    </xf>
    <xf numFmtId="9" fontId="1" fillId="16" borderId="8" xfId="2" applyFont="1" applyFill="1" applyBorder="1" applyAlignment="1">
      <alignment horizontal="center" vertical="center"/>
    </xf>
    <xf numFmtId="164" fontId="16" fillId="16" borderId="8" xfId="10" applyFont="1" applyFill="1" applyBorder="1">
      <alignment horizontal="center" vertical="center"/>
    </xf>
    <xf numFmtId="0" fontId="16" fillId="18" borderId="9" xfId="12" applyFont="1" applyFill="1" applyBorder="1">
      <alignment horizontal="left" vertical="center" indent="2"/>
    </xf>
    <xf numFmtId="0" fontId="16" fillId="18" borderId="9" xfId="11" applyFont="1" applyFill="1" applyBorder="1" applyAlignment="1">
      <alignment vertical="center"/>
    </xf>
    <xf numFmtId="9" fontId="1" fillId="18" borderId="9" xfId="2" applyFont="1" applyFill="1" applyBorder="1" applyAlignment="1">
      <alignment horizontal="center" vertical="center"/>
    </xf>
    <xf numFmtId="164" fontId="16" fillId="18" borderId="9" xfId="10" applyFont="1" applyFill="1" applyBorder="1">
      <alignment horizontal="center" vertical="center"/>
    </xf>
    <xf numFmtId="0" fontId="16" fillId="18" borderId="0" xfId="12" applyFont="1" applyFill="1" applyBorder="1">
      <alignment horizontal="left" vertical="center" indent="2"/>
    </xf>
    <xf numFmtId="0" fontId="16" fillId="18" borderId="0" xfId="11" applyFont="1" applyFill="1" applyBorder="1" applyAlignment="1">
      <alignment vertical="center"/>
    </xf>
    <xf numFmtId="9" fontId="1" fillId="18" borderId="0" xfId="2" applyFont="1" applyFill="1" applyBorder="1" applyAlignment="1">
      <alignment horizontal="center" vertical="center"/>
    </xf>
    <xf numFmtId="164" fontId="16" fillId="18" borderId="0" xfId="10" applyFont="1" applyFill="1" applyBorder="1">
      <alignment horizontal="center" vertical="center"/>
    </xf>
    <xf numFmtId="0" fontId="20" fillId="19" borderId="0" xfId="0" applyFont="1" applyFill="1" applyAlignment="1">
      <alignment horizontal="left" vertical="center" indent="1"/>
    </xf>
    <xf numFmtId="0" fontId="16" fillId="19" borderId="0" xfId="11" applyFont="1" applyFill="1" applyBorder="1" applyAlignment="1">
      <alignment vertical="center"/>
    </xf>
    <xf numFmtId="9" fontId="1" fillId="19" borderId="0" xfId="2" applyFont="1" applyFill="1" applyBorder="1" applyAlignment="1">
      <alignment horizontal="center" vertical="center"/>
    </xf>
    <xf numFmtId="164" fontId="16" fillId="19" borderId="0" xfId="0" applyNumberFormat="1" applyFont="1" applyFill="1" applyAlignment="1">
      <alignment horizontal="center" vertical="center"/>
    </xf>
    <xf numFmtId="164" fontId="1" fillId="19" borderId="0" xfId="0" applyNumberFormat="1" applyFont="1" applyFill="1" applyAlignment="1">
      <alignment horizontal="center" vertical="center"/>
    </xf>
    <xf numFmtId="0" fontId="16" fillId="20" borderId="5" xfId="12" applyFont="1" applyFill="1" applyBorder="1">
      <alignment horizontal="left" vertical="center" indent="2"/>
    </xf>
    <xf numFmtId="0" fontId="16" fillId="20" borderId="5" xfId="11" applyFont="1" applyFill="1" applyBorder="1" applyAlignment="1">
      <alignment vertical="center"/>
    </xf>
    <xf numFmtId="9" fontId="1" fillId="20" borderId="5" xfId="2" applyFont="1" applyFill="1" applyBorder="1" applyAlignment="1">
      <alignment horizontal="center" vertical="center"/>
    </xf>
    <xf numFmtId="164" fontId="16" fillId="20" borderId="5" xfId="10" applyFont="1" applyFill="1" applyBorder="1">
      <alignment horizontal="center" vertical="center"/>
    </xf>
    <xf numFmtId="0" fontId="4" fillId="21" borderId="4" xfId="0" applyFont="1" applyFill="1" applyBorder="1" applyAlignment="1">
      <alignment vertical="center"/>
    </xf>
    <xf numFmtId="0" fontId="4" fillId="21" borderId="10" xfId="0" applyFont="1" applyFill="1" applyBorder="1" applyAlignment="1">
      <alignment vertical="center"/>
    </xf>
    <xf numFmtId="0" fontId="11" fillId="0" borderId="0" xfId="3" applyAlignment="1">
      <alignment wrapText="1"/>
    </xf>
    <xf numFmtId="0" fontId="17" fillId="11" borderId="15" xfId="0" applyFont="1" applyFill="1" applyBorder="1" applyAlignment="1">
      <alignment horizontal="left" vertical="center" indent="1"/>
    </xf>
    <xf numFmtId="0" fontId="4" fillId="2" borderId="20" xfId="0" applyFont="1" applyFill="1" applyBorder="1" applyAlignment="1">
      <alignment horizontal="left" indent="1"/>
    </xf>
    <xf numFmtId="0" fontId="17" fillId="11" borderId="15" xfId="0" applyFont="1" applyFill="1" applyBorder="1" applyAlignment="1">
      <alignment vertical="center"/>
    </xf>
    <xf numFmtId="0" fontId="17" fillId="11" borderId="15" xfId="0" applyFont="1" applyFill="1" applyBorder="1" applyAlignment="1">
      <alignment horizontal="center" vertical="center"/>
    </xf>
    <xf numFmtId="0" fontId="22" fillId="0" borderId="0" xfId="0" applyFont="1" applyAlignment="1">
      <alignment horizontal="left"/>
    </xf>
    <xf numFmtId="165" fontId="22" fillId="0" borderId="0" xfId="9" applyFont="1" applyBorder="1" applyAlignment="1">
      <alignment horizontal="left"/>
    </xf>
    <xf numFmtId="0" fontId="21" fillId="0" borderId="0" xfId="8" applyFont="1" applyAlignment="1">
      <alignment horizontal="left"/>
    </xf>
    <xf numFmtId="166" fontId="16" fillId="2" borderId="12" xfId="0" applyNumberFormat="1" applyFont="1" applyFill="1" applyBorder="1" applyAlignment="1">
      <alignment horizontal="center" vertical="center" wrapText="1"/>
    </xf>
    <xf numFmtId="166" fontId="16" fillId="2" borderId="18" xfId="0" applyNumberFormat="1" applyFont="1" applyFill="1" applyBorder="1" applyAlignment="1">
      <alignment horizontal="center" vertical="center" wrapText="1"/>
    </xf>
    <xf numFmtId="166" fontId="16" fillId="2" borderId="17" xfId="0" applyNumberFormat="1" applyFont="1" applyFill="1" applyBorder="1" applyAlignment="1">
      <alignment horizontal="center" vertical="center" wrapText="1"/>
    </xf>
    <xf numFmtId="0" fontId="4" fillId="0" borderId="0" xfId="0" applyFont="1" applyAlignment="1"/>
    <xf numFmtId="0" fontId="23" fillId="0" borderId="0" xfId="0" applyFont="1" applyAlignment="1"/>
    <xf numFmtId="0" fontId="4" fillId="2" borderId="20" xfId="0" applyFont="1" applyFill="1" applyBorder="1" applyAlignment="1"/>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39">
    <dxf>
      <border>
        <left style="thin">
          <color theme="5"/>
        </left>
        <right style="thin">
          <color theme="5"/>
        </right>
        <vertical/>
        <horizontal/>
      </border>
    </dxf>
    <dxf>
      <fill>
        <patternFill patternType="solid">
          <bgColor rgb="FFFF0000"/>
        </patternFill>
      </fill>
      <border>
        <top style="thin">
          <color rgb="FFF2F2F2"/>
        </top>
        <bottom style="thin">
          <color rgb="FFF2F2F2"/>
        </bottom>
      </border>
    </dxf>
    <dxf>
      <fill>
        <patternFill patternType="solid">
          <bgColor rgb="FFFFABAB"/>
        </patternFill>
      </fill>
    </dxf>
    <dxf>
      <border>
        <left style="thin">
          <color theme="5"/>
        </left>
        <right style="thin">
          <color theme="5"/>
        </right>
        <vertical/>
        <horizontal/>
      </border>
    </dxf>
    <dxf>
      <fill>
        <patternFill patternType="solid">
          <bgColor theme="9" tint="0.39997558519241921"/>
        </patternFill>
      </fill>
      <border>
        <top style="thin">
          <color rgb="FFF2F2F2"/>
        </top>
        <bottom style="thin">
          <color rgb="FFF2F2F2"/>
        </bottom>
      </border>
    </dxf>
    <dxf>
      <fill>
        <patternFill patternType="solid">
          <bgColor theme="9" tint="0.79998168889431442"/>
        </patternFill>
      </fill>
      <border>
        <top style="thin">
          <color rgb="FFF2F2F2"/>
        </top>
        <bottom style="thin">
          <color rgb="FFF2F2F2"/>
        </bottom>
      </border>
    </dxf>
    <dxf>
      <border>
        <left style="thin">
          <color theme="5"/>
        </left>
        <right style="thin">
          <color theme="5"/>
        </right>
        <vertical/>
        <horizontal/>
      </border>
    </dxf>
    <dxf>
      <fill>
        <patternFill patternType="solid">
          <bgColor theme="2"/>
        </patternFill>
      </fill>
    </dxf>
    <dxf>
      <fill>
        <patternFill patternType="solid">
          <bgColor theme="2" tint="-0.249977111117893"/>
        </patternFill>
      </fill>
    </dxf>
    <dxf>
      <border>
        <left style="thin">
          <color theme="5"/>
        </left>
        <right style="thin">
          <color theme="5"/>
        </right>
        <vertical/>
        <horizontal/>
      </border>
    </dxf>
    <dxf>
      <fill>
        <patternFill patternType="solid">
          <bgColor theme="2"/>
        </patternFill>
      </fill>
    </dxf>
    <dxf>
      <fill>
        <patternFill patternType="solid">
          <bgColor theme="2" tint="-0.249977111117893"/>
        </patternFill>
      </fill>
    </dxf>
    <dxf>
      <border>
        <left style="thin">
          <color theme="5"/>
        </left>
        <right style="thin">
          <color theme="5"/>
        </right>
        <vertical/>
        <horizontal/>
      </border>
    </dxf>
    <dxf>
      <fill>
        <patternFill patternType="solid">
          <bgColor theme="7"/>
        </patternFill>
      </fill>
    </dxf>
    <dxf>
      <fill>
        <patternFill patternType="solid">
          <bgColor theme="7" tint="0.59999389629810485"/>
        </patternFill>
      </fill>
    </dxf>
    <dxf>
      <border>
        <left style="thin">
          <color theme="5"/>
        </left>
        <right style="thin">
          <color theme="5"/>
        </right>
        <vertical/>
        <horizontal/>
      </border>
    </dxf>
    <dxf>
      <fill>
        <patternFill patternType="solid">
          <bgColor theme="7"/>
        </patternFill>
      </fill>
    </dxf>
    <dxf>
      <fill>
        <patternFill patternType="solid">
          <bgColor theme="7" tint="0.59999389629810485"/>
        </patternFill>
      </fill>
    </dxf>
    <dxf>
      <border>
        <left style="thin">
          <color theme="5"/>
        </left>
        <right style="thin">
          <color theme="5"/>
        </right>
        <vertical/>
        <horizontal/>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38"/>
      <tableStyleElement type="headerRow" dxfId="37"/>
      <tableStyleElement type="totalRow" dxfId="36"/>
      <tableStyleElement type="firstColumn" dxfId="35"/>
      <tableStyleElement type="lastColumn" dxfId="34"/>
      <tableStyleElement type="firstRowStripe" dxfId="33"/>
      <tableStyleElement type="secondRowStripe" dxfId="32"/>
      <tableStyleElement type="firstColumnStripe" dxfId="31"/>
      <tableStyleElement type="secondColumnStripe" dxfId="3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ABAB"/>
      <color rgb="FFFF707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43"/>
  <sheetViews>
    <sheetView showGridLines="0" tabSelected="1" showRuler="0" topLeftCell="A22" zoomScaleNormal="100" zoomScalePageLayoutView="70" workbookViewId="0">
      <selection activeCell="C28" sqref="C28"/>
    </sheetView>
  </sheetViews>
  <sheetFormatPr defaultColWidth="8.75" defaultRowHeight="30" customHeight="1"/>
  <cols>
    <col min="1" max="1" width="5" style="10" customWidth="1"/>
    <col min="2" max="2" width="33.25" customWidth="1"/>
    <col min="3" max="3" width="16.75" customWidth="1"/>
    <col min="4" max="4" width="10.75" customWidth="1"/>
    <col min="5" max="5" width="10.75" style="2" customWidth="1"/>
    <col min="6" max="6" width="10.75" customWidth="1"/>
    <col min="7" max="7" width="2.75" customWidth="1"/>
    <col min="8" max="8" width="6" hidden="1" customWidth="1"/>
    <col min="9" max="65" width="2.75" customWidth="1"/>
  </cols>
  <sheetData>
    <row r="1" spans="1:64" ht="90" customHeight="1">
      <c r="A1" s="11"/>
      <c r="B1" s="79" t="s">
        <v>0</v>
      </c>
      <c r="C1" s="13"/>
      <c r="D1" s="14"/>
      <c r="E1" s="15"/>
      <c r="F1" s="16"/>
      <c r="H1" s="1"/>
      <c r="I1" s="142" t="s">
        <v>1</v>
      </c>
      <c r="J1" s="146"/>
      <c r="K1" s="146"/>
      <c r="L1" s="146"/>
      <c r="M1" s="146"/>
      <c r="N1" s="146"/>
      <c r="O1" s="146"/>
      <c r="P1" s="19"/>
      <c r="Q1" s="141">
        <f>DATE(2026,1,20)</f>
        <v>46042</v>
      </c>
      <c r="R1" s="147"/>
      <c r="S1" s="147"/>
      <c r="T1" s="147"/>
      <c r="U1" s="147"/>
      <c r="V1" s="147"/>
      <c r="W1" s="147"/>
      <c r="X1" s="147"/>
      <c r="Y1" s="147"/>
      <c r="Z1" s="147"/>
    </row>
    <row r="2" spans="1:64" ht="30" customHeight="1">
      <c r="B2" s="78" t="s">
        <v>2</v>
      </c>
      <c r="C2" s="111" t="s">
        <v>3</v>
      </c>
      <c r="D2" s="17"/>
      <c r="E2" s="18"/>
      <c r="F2" s="17"/>
      <c r="I2" s="142" t="s">
        <v>4</v>
      </c>
      <c r="J2" s="146"/>
      <c r="K2" s="146"/>
      <c r="L2" s="146"/>
      <c r="M2" s="146"/>
      <c r="N2" s="146"/>
      <c r="O2" s="146"/>
      <c r="P2" s="19"/>
      <c r="Q2" s="140">
        <v>5</v>
      </c>
      <c r="R2" s="147"/>
      <c r="S2" s="147"/>
      <c r="T2" s="147"/>
      <c r="U2" s="147"/>
      <c r="V2" s="147"/>
      <c r="W2" s="147"/>
      <c r="X2" s="147"/>
      <c r="Y2" s="147"/>
      <c r="Z2" s="147"/>
    </row>
    <row r="3" spans="1:64" s="20" customFormat="1" ht="30" customHeight="1">
      <c r="A3" s="10"/>
      <c r="B3" s="78" t="s">
        <v>5</v>
      </c>
      <c r="C3" s="111" t="s">
        <v>6</v>
      </c>
      <c r="D3" s="78"/>
      <c r="E3" s="21"/>
    </row>
    <row r="4" spans="1:64" s="20" customFormat="1" ht="30" customHeight="1">
      <c r="A4" s="11"/>
      <c r="B4" s="22"/>
      <c r="E4" s="23"/>
      <c r="I4" s="145">
        <f>I5</f>
        <v>46069</v>
      </c>
      <c r="J4" s="143"/>
      <c r="K4" s="143"/>
      <c r="L4" s="143"/>
      <c r="M4" s="143"/>
      <c r="N4" s="143"/>
      <c r="O4" s="143"/>
      <c r="P4" s="143">
        <f>P5</f>
        <v>46076</v>
      </c>
      <c r="Q4" s="143"/>
      <c r="R4" s="143"/>
      <c r="S4" s="143"/>
      <c r="T4" s="143"/>
      <c r="U4" s="143"/>
      <c r="V4" s="143"/>
      <c r="W4" s="143">
        <f>W5</f>
        <v>46083</v>
      </c>
      <c r="X4" s="143"/>
      <c r="Y4" s="143"/>
      <c r="Z4" s="143"/>
      <c r="AA4" s="143"/>
      <c r="AB4" s="143"/>
      <c r="AC4" s="143"/>
      <c r="AD4" s="143">
        <f>AD5</f>
        <v>46090</v>
      </c>
      <c r="AE4" s="143"/>
      <c r="AF4" s="143"/>
      <c r="AG4" s="143"/>
      <c r="AH4" s="143"/>
      <c r="AI4" s="143"/>
      <c r="AJ4" s="143"/>
      <c r="AK4" s="143">
        <f>AK5</f>
        <v>46097</v>
      </c>
      <c r="AL4" s="143"/>
      <c r="AM4" s="143"/>
      <c r="AN4" s="143"/>
      <c r="AO4" s="143"/>
      <c r="AP4" s="143"/>
      <c r="AQ4" s="143"/>
      <c r="AR4" s="143">
        <f>AR5</f>
        <v>46104</v>
      </c>
      <c r="AS4" s="143"/>
      <c r="AT4" s="143"/>
      <c r="AU4" s="143"/>
      <c r="AV4" s="143"/>
      <c r="AW4" s="143"/>
      <c r="AX4" s="143"/>
      <c r="AY4" s="143">
        <f>AY5</f>
        <v>46111</v>
      </c>
      <c r="AZ4" s="143"/>
      <c r="BA4" s="143"/>
      <c r="BB4" s="143"/>
      <c r="BC4" s="143"/>
      <c r="BD4" s="143"/>
      <c r="BE4" s="143"/>
      <c r="BF4" s="143">
        <f>BF5</f>
        <v>46118</v>
      </c>
      <c r="BG4" s="143"/>
      <c r="BH4" s="143"/>
      <c r="BI4" s="143"/>
      <c r="BJ4" s="143"/>
      <c r="BK4" s="143"/>
      <c r="BL4" s="144"/>
    </row>
    <row r="5" spans="1:64" s="20" customFormat="1" ht="15" customHeight="1">
      <c r="A5" s="135"/>
      <c r="B5" s="136" t="s">
        <v>7</v>
      </c>
      <c r="C5" s="138" t="s">
        <v>8</v>
      </c>
      <c r="D5" s="139" t="s">
        <v>9</v>
      </c>
      <c r="E5" s="139" t="s">
        <v>10</v>
      </c>
      <c r="F5" s="139" t="s">
        <v>11</v>
      </c>
      <c r="I5" s="24">
        <f>Project_Start-WEEKDAY(Project_Start,1)+2+7*(Display_Week-1)</f>
        <v>46069</v>
      </c>
      <c r="J5" s="24">
        <f>I5+1</f>
        <v>46070</v>
      </c>
      <c r="K5" s="24">
        <f t="shared" ref="K5:AX5" si="0">J5+1</f>
        <v>46071</v>
      </c>
      <c r="L5" s="24">
        <f t="shared" si="0"/>
        <v>46072</v>
      </c>
      <c r="M5" s="24">
        <f t="shared" si="0"/>
        <v>46073</v>
      </c>
      <c r="N5" s="24">
        <f t="shared" si="0"/>
        <v>46074</v>
      </c>
      <c r="O5" s="25">
        <f t="shared" si="0"/>
        <v>46075</v>
      </c>
      <c r="P5" s="26">
        <f>O5+1</f>
        <v>46076</v>
      </c>
      <c r="Q5" s="24">
        <f>P5+1</f>
        <v>46077</v>
      </c>
      <c r="R5" s="24">
        <f t="shared" si="0"/>
        <v>46078</v>
      </c>
      <c r="S5" s="24">
        <f t="shared" si="0"/>
        <v>46079</v>
      </c>
      <c r="T5" s="24">
        <f t="shared" si="0"/>
        <v>46080</v>
      </c>
      <c r="U5" s="24">
        <f t="shared" si="0"/>
        <v>46081</v>
      </c>
      <c r="V5" s="25">
        <f t="shared" si="0"/>
        <v>46082</v>
      </c>
      <c r="W5" s="26">
        <f>V5+1</f>
        <v>46083</v>
      </c>
      <c r="X5" s="24">
        <f>W5+1</f>
        <v>46084</v>
      </c>
      <c r="Y5" s="24">
        <f t="shared" si="0"/>
        <v>46085</v>
      </c>
      <c r="Z5" s="24">
        <f t="shared" si="0"/>
        <v>46086</v>
      </c>
      <c r="AA5" s="24">
        <f t="shared" si="0"/>
        <v>46087</v>
      </c>
      <c r="AB5" s="24">
        <f t="shared" si="0"/>
        <v>46088</v>
      </c>
      <c r="AC5" s="25">
        <f t="shared" si="0"/>
        <v>46089</v>
      </c>
      <c r="AD5" s="26">
        <f>AC5+1</f>
        <v>46090</v>
      </c>
      <c r="AE5" s="24">
        <f>AD5+1</f>
        <v>46091</v>
      </c>
      <c r="AF5" s="24">
        <f t="shared" si="0"/>
        <v>46092</v>
      </c>
      <c r="AG5" s="24">
        <f t="shared" si="0"/>
        <v>46093</v>
      </c>
      <c r="AH5" s="24">
        <f t="shared" si="0"/>
        <v>46094</v>
      </c>
      <c r="AI5" s="24">
        <f t="shared" si="0"/>
        <v>46095</v>
      </c>
      <c r="AJ5" s="25">
        <f t="shared" si="0"/>
        <v>46096</v>
      </c>
      <c r="AK5" s="26">
        <f>AJ5+1</f>
        <v>46097</v>
      </c>
      <c r="AL5" s="24">
        <f>AK5+1</f>
        <v>46098</v>
      </c>
      <c r="AM5" s="24">
        <f t="shared" si="0"/>
        <v>46099</v>
      </c>
      <c r="AN5" s="24">
        <f t="shared" si="0"/>
        <v>46100</v>
      </c>
      <c r="AO5" s="24">
        <f t="shared" si="0"/>
        <v>46101</v>
      </c>
      <c r="AP5" s="24">
        <f t="shared" si="0"/>
        <v>46102</v>
      </c>
      <c r="AQ5" s="25">
        <f t="shared" si="0"/>
        <v>46103</v>
      </c>
      <c r="AR5" s="26">
        <f>AQ5+1</f>
        <v>46104</v>
      </c>
      <c r="AS5" s="24">
        <f>AR5+1</f>
        <v>46105</v>
      </c>
      <c r="AT5" s="24">
        <f t="shared" si="0"/>
        <v>46106</v>
      </c>
      <c r="AU5" s="24">
        <f t="shared" si="0"/>
        <v>46107</v>
      </c>
      <c r="AV5" s="24">
        <f t="shared" si="0"/>
        <v>46108</v>
      </c>
      <c r="AW5" s="24">
        <f t="shared" si="0"/>
        <v>46109</v>
      </c>
      <c r="AX5" s="25">
        <f t="shared" si="0"/>
        <v>46110</v>
      </c>
      <c r="AY5" s="26">
        <f>AX5+1</f>
        <v>46111</v>
      </c>
      <c r="AZ5" s="24">
        <f>AY5+1</f>
        <v>46112</v>
      </c>
      <c r="BA5" s="24">
        <f t="shared" ref="BA5:BE5" si="1">AZ5+1</f>
        <v>46113</v>
      </c>
      <c r="BB5" s="24">
        <f t="shared" si="1"/>
        <v>46114</v>
      </c>
      <c r="BC5" s="24">
        <f t="shared" si="1"/>
        <v>46115</v>
      </c>
      <c r="BD5" s="24">
        <f t="shared" si="1"/>
        <v>46116</v>
      </c>
      <c r="BE5" s="25">
        <f t="shared" si="1"/>
        <v>46117</v>
      </c>
      <c r="BF5" s="26">
        <f>BE5+1</f>
        <v>46118</v>
      </c>
      <c r="BG5" s="24">
        <f>BF5+1</f>
        <v>46119</v>
      </c>
      <c r="BH5" s="24">
        <f t="shared" ref="BH5:BL5" si="2">BG5+1</f>
        <v>46120</v>
      </c>
      <c r="BI5" s="24">
        <f t="shared" si="2"/>
        <v>46121</v>
      </c>
      <c r="BJ5" s="24">
        <f t="shared" si="2"/>
        <v>46122</v>
      </c>
      <c r="BK5" s="24">
        <f t="shared" si="2"/>
        <v>46123</v>
      </c>
      <c r="BL5" s="24">
        <f t="shared" si="2"/>
        <v>46124</v>
      </c>
    </row>
    <row r="6" spans="1:64" s="20" customFormat="1" ht="15" customHeight="1">
      <c r="A6" s="135"/>
      <c r="B6" s="137"/>
      <c r="C6" s="148"/>
      <c r="D6" s="148"/>
      <c r="E6" s="148"/>
      <c r="F6" s="148"/>
      <c r="I6" s="27" t="str">
        <f t="shared" ref="I6:AN6" si="3">LEFT(TEXT(I5,"ddd"),1)</f>
        <v>M</v>
      </c>
      <c r="J6" s="28" t="str">
        <f t="shared" si="3"/>
        <v>T</v>
      </c>
      <c r="K6" s="28" t="str">
        <f t="shared" si="3"/>
        <v>W</v>
      </c>
      <c r="L6" s="28" t="str">
        <f t="shared" si="3"/>
        <v>T</v>
      </c>
      <c r="M6" s="28" t="str">
        <f t="shared" si="3"/>
        <v>F</v>
      </c>
      <c r="N6" s="28" t="str">
        <f t="shared" si="3"/>
        <v>S</v>
      </c>
      <c r="O6" s="28" t="str">
        <f t="shared" si="3"/>
        <v>S</v>
      </c>
      <c r="P6" s="28" t="str">
        <f t="shared" si="3"/>
        <v>M</v>
      </c>
      <c r="Q6" s="28" t="str">
        <f t="shared" si="3"/>
        <v>T</v>
      </c>
      <c r="R6" s="28" t="str">
        <f t="shared" si="3"/>
        <v>W</v>
      </c>
      <c r="S6" s="28" t="str">
        <f t="shared" si="3"/>
        <v>T</v>
      </c>
      <c r="T6" s="28" t="str">
        <f t="shared" si="3"/>
        <v>F</v>
      </c>
      <c r="U6" s="28" t="str">
        <f t="shared" si="3"/>
        <v>S</v>
      </c>
      <c r="V6" s="28" t="str">
        <f t="shared" si="3"/>
        <v>S</v>
      </c>
      <c r="W6" s="28" t="str">
        <f t="shared" si="3"/>
        <v>M</v>
      </c>
      <c r="X6" s="28" t="str">
        <f t="shared" si="3"/>
        <v>T</v>
      </c>
      <c r="Y6" s="28" t="str">
        <f t="shared" si="3"/>
        <v>W</v>
      </c>
      <c r="Z6" s="28" t="str">
        <f t="shared" si="3"/>
        <v>T</v>
      </c>
      <c r="AA6" s="28" t="str">
        <f t="shared" si="3"/>
        <v>F</v>
      </c>
      <c r="AB6" s="28" t="str">
        <f t="shared" si="3"/>
        <v>S</v>
      </c>
      <c r="AC6" s="28" t="str">
        <f t="shared" si="3"/>
        <v>S</v>
      </c>
      <c r="AD6" s="28" t="str">
        <f t="shared" si="3"/>
        <v>M</v>
      </c>
      <c r="AE6" s="28" t="str">
        <f t="shared" si="3"/>
        <v>T</v>
      </c>
      <c r="AF6" s="28" t="str">
        <f t="shared" si="3"/>
        <v>W</v>
      </c>
      <c r="AG6" s="28" t="str">
        <f t="shared" si="3"/>
        <v>T</v>
      </c>
      <c r="AH6" s="28" t="str">
        <f t="shared" si="3"/>
        <v>F</v>
      </c>
      <c r="AI6" s="28" t="str">
        <f t="shared" si="3"/>
        <v>S</v>
      </c>
      <c r="AJ6" s="28" t="str">
        <f t="shared" si="3"/>
        <v>S</v>
      </c>
      <c r="AK6" s="28" t="str">
        <f t="shared" si="3"/>
        <v>M</v>
      </c>
      <c r="AL6" s="28" t="str">
        <f t="shared" si="3"/>
        <v>T</v>
      </c>
      <c r="AM6" s="28" t="str">
        <f t="shared" si="3"/>
        <v>W</v>
      </c>
      <c r="AN6" s="28" t="str">
        <f t="shared" si="3"/>
        <v>T</v>
      </c>
      <c r="AO6" s="28" t="str">
        <f t="shared" ref="AO6:BL6" si="4">LEFT(TEXT(AO5,"ddd"),1)</f>
        <v>F</v>
      </c>
      <c r="AP6" s="28" t="str">
        <f t="shared" si="4"/>
        <v>S</v>
      </c>
      <c r="AQ6" s="28" t="str">
        <f t="shared" si="4"/>
        <v>S</v>
      </c>
      <c r="AR6" s="28" t="str">
        <f t="shared" si="4"/>
        <v>M</v>
      </c>
      <c r="AS6" s="28" t="str">
        <f t="shared" si="4"/>
        <v>T</v>
      </c>
      <c r="AT6" s="28" t="str">
        <f t="shared" si="4"/>
        <v>W</v>
      </c>
      <c r="AU6" s="28" t="str">
        <f t="shared" si="4"/>
        <v>T</v>
      </c>
      <c r="AV6" s="28" t="str">
        <f t="shared" si="4"/>
        <v>F</v>
      </c>
      <c r="AW6" s="28" t="str">
        <f t="shared" si="4"/>
        <v>S</v>
      </c>
      <c r="AX6" s="28" t="str">
        <f t="shared" si="4"/>
        <v>S</v>
      </c>
      <c r="AY6" s="28" t="str">
        <f t="shared" si="4"/>
        <v>M</v>
      </c>
      <c r="AZ6" s="28" t="str">
        <f t="shared" si="4"/>
        <v>T</v>
      </c>
      <c r="BA6" s="28" t="str">
        <f t="shared" si="4"/>
        <v>W</v>
      </c>
      <c r="BB6" s="28" t="str">
        <f t="shared" si="4"/>
        <v>T</v>
      </c>
      <c r="BC6" s="28" t="str">
        <f t="shared" si="4"/>
        <v>F</v>
      </c>
      <c r="BD6" s="28" t="str">
        <f t="shared" si="4"/>
        <v>S</v>
      </c>
      <c r="BE6" s="28" t="str">
        <f t="shared" si="4"/>
        <v>S</v>
      </c>
      <c r="BF6" s="28" t="str">
        <f t="shared" si="4"/>
        <v>M</v>
      </c>
      <c r="BG6" s="28" t="str">
        <f t="shared" si="4"/>
        <v>T</v>
      </c>
      <c r="BH6" s="28" t="str">
        <f t="shared" si="4"/>
        <v>W</v>
      </c>
      <c r="BI6" s="28" t="str">
        <f t="shared" si="4"/>
        <v>T</v>
      </c>
      <c r="BJ6" s="28" t="str">
        <f t="shared" si="4"/>
        <v>F</v>
      </c>
      <c r="BK6" s="28" t="str">
        <f t="shared" si="4"/>
        <v>S</v>
      </c>
      <c r="BL6" s="29" t="str">
        <f t="shared" si="4"/>
        <v>S</v>
      </c>
    </row>
    <row r="7" spans="1:64" s="20" customFormat="1" ht="30" hidden="1" customHeight="1">
      <c r="A7" s="10" t="s">
        <v>12</v>
      </c>
      <c r="B7" s="30"/>
      <c r="C7" s="31"/>
      <c r="D7" s="30"/>
      <c r="E7" s="30"/>
      <c r="F7" s="30"/>
      <c r="H7" s="20" t="str">
        <f ca="1">IF(OR(ISBLANK(task_start),ISBLANK(task_end)),"",task_end-task_start+1)</f>
        <v/>
      </c>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row>
    <row r="8" spans="1:64" s="38" customFormat="1" ht="30" customHeight="1">
      <c r="A8" s="11"/>
      <c r="B8" s="33" t="s">
        <v>13</v>
      </c>
      <c r="C8" s="34"/>
      <c r="D8" s="35"/>
      <c r="E8" s="36"/>
      <c r="F8" s="37"/>
      <c r="G8" s="12"/>
      <c r="H8" s="3" t="str">
        <f t="shared" ref="H8:H43" ca="1" si="5">IF(OR(ISBLANK(task_start),ISBLANK(task_end)),"",task_end-task_start+1)</f>
        <v/>
      </c>
      <c r="I8" s="134"/>
      <c r="J8" s="134"/>
      <c r="K8" s="134"/>
      <c r="L8" s="134"/>
      <c r="M8" s="134"/>
      <c r="N8" s="134"/>
      <c r="O8" s="134"/>
      <c r="P8" s="134"/>
      <c r="Q8" s="134"/>
      <c r="R8" s="134"/>
      <c r="S8" s="134"/>
      <c r="T8" s="134"/>
      <c r="U8" s="134"/>
      <c r="V8" s="134"/>
      <c r="W8" s="134"/>
      <c r="X8" s="134"/>
      <c r="Y8" s="134"/>
      <c r="Z8" s="134"/>
      <c r="AA8" s="134"/>
      <c r="AB8" s="134"/>
      <c r="AC8" s="134"/>
      <c r="AD8" s="134"/>
      <c r="AE8" s="134"/>
      <c r="AF8" s="134"/>
      <c r="AG8" s="134"/>
      <c r="AH8" s="134"/>
      <c r="AI8" s="134"/>
      <c r="AJ8" s="134"/>
      <c r="AK8" s="134"/>
      <c r="AL8" s="134"/>
      <c r="AM8" s="134"/>
      <c r="AN8" s="134"/>
      <c r="AO8" s="134"/>
      <c r="AP8" s="134"/>
      <c r="AQ8" s="134"/>
      <c r="AR8" s="134"/>
      <c r="AS8" s="134"/>
      <c r="AT8" s="134"/>
      <c r="AU8" s="134"/>
      <c r="AV8" s="134"/>
      <c r="AW8" s="134"/>
      <c r="AX8" s="134"/>
      <c r="AY8" s="134"/>
      <c r="AZ8" s="134"/>
      <c r="BA8" s="134"/>
      <c r="BB8" s="134"/>
      <c r="BC8" s="134"/>
      <c r="BD8" s="134"/>
      <c r="BE8" s="134"/>
      <c r="BF8" s="134"/>
      <c r="BG8" s="134"/>
      <c r="BH8" s="134"/>
      <c r="BI8" s="134"/>
      <c r="BJ8" s="134"/>
      <c r="BK8" s="134"/>
      <c r="BL8" s="134"/>
    </row>
    <row r="9" spans="1:64" s="38" customFormat="1" ht="30" customHeight="1">
      <c r="A9" s="11"/>
      <c r="B9" s="39" t="s">
        <v>14</v>
      </c>
      <c r="C9" s="40" t="s">
        <v>15</v>
      </c>
      <c r="D9" s="41">
        <v>1</v>
      </c>
      <c r="E9" s="42">
        <v>46042</v>
      </c>
      <c r="F9" s="42">
        <v>46050</v>
      </c>
      <c r="G9" s="12"/>
      <c r="H9" s="3">
        <f t="shared" ca="1" si="5"/>
        <v>9</v>
      </c>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133"/>
      <c r="AN9" s="43"/>
      <c r="AO9" s="43"/>
      <c r="AP9" s="43"/>
      <c r="AQ9" s="43"/>
      <c r="AR9" s="43"/>
      <c r="AS9" s="43"/>
      <c r="AT9" s="43"/>
      <c r="AU9" s="43"/>
      <c r="AV9" s="43"/>
      <c r="AW9" s="43"/>
      <c r="AX9" s="43"/>
      <c r="AY9" s="43"/>
      <c r="AZ9" s="43"/>
      <c r="BA9" s="43"/>
      <c r="BB9" s="43"/>
      <c r="BC9" s="43"/>
      <c r="BD9" s="43"/>
      <c r="BE9" s="43"/>
      <c r="BF9" s="43"/>
      <c r="BG9" s="43"/>
      <c r="BH9" s="43"/>
      <c r="BI9" s="43"/>
      <c r="BJ9" s="43"/>
      <c r="BK9" s="43"/>
      <c r="BL9" s="43"/>
    </row>
    <row r="10" spans="1:64" s="38" customFormat="1" ht="30" customHeight="1">
      <c r="A10" s="11"/>
      <c r="B10" s="44" t="s">
        <v>16</v>
      </c>
      <c r="C10" s="45" t="s">
        <v>17</v>
      </c>
      <c r="D10" s="46">
        <v>1</v>
      </c>
      <c r="E10" s="47">
        <v>46042</v>
      </c>
      <c r="F10" s="47">
        <v>46050</v>
      </c>
      <c r="G10" s="12"/>
      <c r="H10" s="3">
        <f t="shared" ca="1" si="5"/>
        <v>9</v>
      </c>
      <c r="I10" s="43"/>
      <c r="J10" s="43"/>
      <c r="K10" s="43"/>
      <c r="L10" s="43"/>
      <c r="M10" s="43"/>
      <c r="N10" s="43"/>
      <c r="O10" s="43"/>
      <c r="P10" s="43"/>
      <c r="Q10" s="43"/>
      <c r="R10" s="43"/>
      <c r="S10" s="43"/>
      <c r="T10" s="43"/>
      <c r="U10" s="48"/>
      <c r="V10" s="48"/>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row>
    <row r="11" spans="1:64" s="38" customFormat="1" ht="30" customHeight="1">
      <c r="A11" s="10"/>
      <c r="B11" s="44" t="s">
        <v>18</v>
      </c>
      <c r="C11" s="45" t="s">
        <v>19</v>
      </c>
      <c r="D11" s="46">
        <v>1</v>
      </c>
      <c r="E11" s="47">
        <v>46056</v>
      </c>
      <c r="F11" s="47">
        <v>46070</v>
      </c>
      <c r="G11" s="12"/>
      <c r="H11" s="3">
        <f t="shared" ca="1" si="5"/>
        <v>15</v>
      </c>
      <c r="I11" s="43"/>
      <c r="J11" s="43"/>
      <c r="K11" s="43"/>
      <c r="L11" s="43"/>
      <c r="M11" s="43"/>
      <c r="N11" s="43"/>
      <c r="O11" s="43"/>
      <c r="P11" s="43"/>
      <c r="Q11" s="43"/>
      <c r="R11" s="43"/>
      <c r="S11" s="43"/>
      <c r="T11" s="43"/>
      <c r="U11" s="43"/>
      <c r="V11" s="43"/>
      <c r="W11" s="43"/>
      <c r="X11" s="43"/>
      <c r="Y11" s="43"/>
      <c r="Z11" s="43"/>
      <c r="AA11" s="43"/>
      <c r="AB11" s="43"/>
      <c r="AC11" s="43"/>
      <c r="AD11" s="43"/>
      <c r="AE11" s="43"/>
      <c r="AF11" s="43"/>
      <c r="AG11" s="43"/>
      <c r="AH11" s="43"/>
      <c r="AI11" s="43"/>
      <c r="AJ11" s="43"/>
      <c r="AK11" s="43"/>
      <c r="AL11" s="43"/>
      <c r="AM11" s="43"/>
      <c r="AN11" s="43"/>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row>
    <row r="12" spans="1:64" s="38" customFormat="1" ht="30" customHeight="1">
      <c r="A12" s="10"/>
      <c r="B12" s="44" t="s">
        <v>20</v>
      </c>
      <c r="C12" s="45" t="s">
        <v>17</v>
      </c>
      <c r="D12" s="46">
        <v>1</v>
      </c>
      <c r="E12" s="47">
        <v>46056</v>
      </c>
      <c r="F12" s="47">
        <v>46063</v>
      </c>
      <c r="G12" s="12"/>
      <c r="H12" s="3">
        <f t="shared" ca="1" si="5"/>
        <v>8</v>
      </c>
      <c r="I12" s="43"/>
      <c r="J12" s="43"/>
      <c r="K12" s="43"/>
      <c r="L12" s="43"/>
      <c r="M12" s="43"/>
      <c r="N12" s="43"/>
      <c r="O12" s="43"/>
      <c r="P12" s="43"/>
      <c r="Q12" s="43"/>
      <c r="R12" s="43"/>
      <c r="S12" s="43"/>
      <c r="T12" s="43"/>
      <c r="U12" s="43"/>
      <c r="V12" s="43"/>
      <c r="W12" s="43"/>
      <c r="X12" s="43"/>
      <c r="Y12" s="48"/>
      <c r="Z12" s="43"/>
      <c r="AA12" s="43"/>
      <c r="AB12" s="43"/>
      <c r="AC12" s="43"/>
      <c r="AD12" s="43"/>
      <c r="AE12" s="43"/>
      <c r="AF12" s="43"/>
      <c r="AG12" s="43"/>
      <c r="AH12" s="43"/>
      <c r="AI12" s="43"/>
      <c r="AJ12" s="43"/>
      <c r="AK12" s="43"/>
      <c r="AL12" s="43"/>
      <c r="AM12" s="43"/>
      <c r="AN12" s="43"/>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row>
    <row r="13" spans="1:64" s="38" customFormat="1" ht="30" customHeight="1">
      <c r="A13" s="10"/>
      <c r="B13" s="44" t="s">
        <v>21</v>
      </c>
      <c r="C13" s="45" t="s">
        <v>15</v>
      </c>
      <c r="D13" s="46">
        <v>1</v>
      </c>
      <c r="E13" s="47">
        <v>46063</v>
      </c>
      <c r="F13" s="47">
        <v>46070</v>
      </c>
      <c r="G13" s="12"/>
      <c r="H13" s="3">
        <f t="shared" ca="1" si="5"/>
        <v>8</v>
      </c>
      <c r="I13" s="43"/>
      <c r="J13" s="43"/>
      <c r="K13" s="43"/>
      <c r="L13" s="43"/>
      <c r="M13" s="43"/>
      <c r="N13" s="43"/>
      <c r="O13" s="43"/>
      <c r="P13" s="43"/>
      <c r="Q13" s="43"/>
      <c r="R13" s="43"/>
      <c r="S13" s="43"/>
      <c r="T13" s="43"/>
      <c r="U13" s="43"/>
      <c r="V13" s="43"/>
      <c r="W13" s="43"/>
      <c r="X13" s="43"/>
      <c r="Y13" s="43"/>
      <c r="Z13" s="43"/>
      <c r="AA13" s="43"/>
      <c r="AB13" s="43"/>
      <c r="AC13" s="43"/>
      <c r="AD13" s="43"/>
      <c r="AE13" s="43"/>
      <c r="AF13" s="43"/>
      <c r="AG13" s="43"/>
      <c r="AH13" s="43"/>
      <c r="AI13" s="43"/>
      <c r="AJ13" s="43"/>
      <c r="AK13" s="43"/>
      <c r="AL13" s="43"/>
      <c r="AM13" s="43"/>
      <c r="AN13" s="43"/>
      <c r="AO13" s="43"/>
      <c r="AP13" s="43"/>
      <c r="AQ13" s="43"/>
      <c r="AR13" s="43"/>
      <c r="AS13" s="43"/>
      <c r="AT13" s="43"/>
      <c r="AU13" s="43"/>
      <c r="AV13" s="43"/>
      <c r="AW13" s="43"/>
      <c r="AX13" s="43"/>
      <c r="AY13" s="43"/>
      <c r="AZ13" s="43"/>
      <c r="BA13" s="43"/>
      <c r="BB13" s="43"/>
      <c r="BC13" s="43"/>
      <c r="BD13" s="43"/>
      <c r="BE13" s="43"/>
      <c r="BF13" s="43"/>
      <c r="BG13" s="43"/>
      <c r="BH13" s="43"/>
      <c r="BI13" s="43"/>
      <c r="BJ13" s="43"/>
      <c r="BK13" s="43"/>
      <c r="BL13" s="43"/>
    </row>
    <row r="14" spans="1:64" s="38" customFormat="1" ht="30" customHeight="1">
      <c r="A14" s="11"/>
      <c r="B14" s="49" t="s">
        <v>22</v>
      </c>
      <c r="C14" s="50"/>
      <c r="D14" s="51"/>
      <c r="E14" s="52"/>
      <c r="F14" s="53"/>
      <c r="G14" s="12"/>
      <c r="H14" s="3" t="str">
        <f t="shared" ca="1" si="5"/>
        <v/>
      </c>
    </row>
    <row r="15" spans="1:64" s="38" customFormat="1" ht="30" customHeight="1">
      <c r="A15" s="11"/>
      <c r="B15" s="54" t="s">
        <v>23</v>
      </c>
      <c r="C15" s="55" t="s">
        <v>24</v>
      </c>
      <c r="D15" s="56">
        <v>1</v>
      </c>
      <c r="E15" s="57">
        <v>46071</v>
      </c>
      <c r="F15" s="57">
        <v>46077</v>
      </c>
      <c r="G15" s="12"/>
      <c r="H15" s="3">
        <f t="shared" ca="1" si="5"/>
        <v>7</v>
      </c>
      <c r="I15" s="43"/>
      <c r="J15" s="43"/>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row>
    <row r="16" spans="1:64" s="38" customFormat="1" ht="30" customHeight="1">
      <c r="A16" s="10"/>
      <c r="B16" s="54" t="s">
        <v>25</v>
      </c>
      <c r="C16" s="55" t="s">
        <v>26</v>
      </c>
      <c r="D16" s="56">
        <v>1</v>
      </c>
      <c r="E16" s="57">
        <v>46074</v>
      </c>
      <c r="F16" s="57">
        <v>46081</v>
      </c>
      <c r="G16" s="12"/>
      <c r="H16" s="3">
        <f t="shared" ca="1" si="5"/>
        <v>8</v>
      </c>
      <c r="I16" s="43"/>
      <c r="J16" s="43"/>
      <c r="K16" s="43"/>
      <c r="L16" s="43"/>
      <c r="M16" s="43"/>
      <c r="N16" s="43"/>
      <c r="O16" s="43"/>
      <c r="P16" s="43"/>
      <c r="Q16" s="43"/>
      <c r="R16" s="43"/>
      <c r="S16" s="43"/>
      <c r="T16" s="43"/>
      <c r="U16" s="48"/>
      <c r="V16" s="48"/>
      <c r="W16" s="43"/>
      <c r="X16" s="43"/>
      <c r="Y16" s="43"/>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row>
    <row r="17" spans="1:64" s="38" customFormat="1" ht="30" customHeight="1">
      <c r="A17" s="10"/>
      <c r="B17" s="54" t="s">
        <v>27</v>
      </c>
      <c r="C17" s="55" t="s">
        <v>17</v>
      </c>
      <c r="D17" s="56">
        <v>1</v>
      </c>
      <c r="E17" s="57">
        <v>46074</v>
      </c>
      <c r="F17" s="57">
        <v>46084</v>
      </c>
      <c r="G17" s="12"/>
      <c r="H17" s="3">
        <f t="shared" ca="1" si="5"/>
        <v>11</v>
      </c>
      <c r="I17" s="43"/>
      <c r="J17" s="43"/>
      <c r="K17" s="43"/>
      <c r="L17" s="43"/>
      <c r="M17" s="43"/>
      <c r="N17" s="43"/>
      <c r="O17" s="43"/>
      <c r="P17" s="43"/>
      <c r="Q17" s="43"/>
      <c r="R17" s="43"/>
      <c r="S17" s="43"/>
      <c r="T17" s="43"/>
      <c r="U17" s="43"/>
      <c r="V17" s="43"/>
      <c r="W17" s="43"/>
      <c r="X17" s="43"/>
      <c r="Y17" s="43"/>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c r="BF17" s="43"/>
      <c r="BG17" s="43"/>
      <c r="BH17" s="43"/>
      <c r="BI17" s="43"/>
      <c r="BJ17" s="43"/>
      <c r="BK17" s="43"/>
      <c r="BL17" s="43"/>
    </row>
    <row r="18" spans="1:64" s="38" customFormat="1" ht="30" customHeight="1">
      <c r="A18" s="10"/>
      <c r="B18" s="54" t="s">
        <v>28</v>
      </c>
      <c r="C18" s="55" t="s">
        <v>17</v>
      </c>
      <c r="D18" s="56">
        <v>1</v>
      </c>
      <c r="E18" s="57">
        <v>46080</v>
      </c>
      <c r="F18" s="57">
        <v>46087</v>
      </c>
      <c r="G18" s="12"/>
      <c r="H18" s="3">
        <f t="shared" ca="1" si="5"/>
        <v>8</v>
      </c>
      <c r="I18" s="43"/>
      <c r="J18" s="43"/>
      <c r="K18" s="43"/>
      <c r="L18" s="43"/>
      <c r="M18" s="43"/>
      <c r="N18" s="43"/>
      <c r="O18" s="43"/>
      <c r="P18" s="43"/>
      <c r="Q18" s="43"/>
      <c r="R18" s="43"/>
      <c r="S18" s="43"/>
      <c r="T18" s="43"/>
      <c r="U18" s="43"/>
      <c r="V18" s="43"/>
      <c r="W18" s="43"/>
      <c r="X18" s="43"/>
      <c r="Y18" s="48"/>
      <c r="Z18" s="43"/>
      <c r="AA18" s="43"/>
      <c r="AB18" s="43"/>
      <c r="AC18" s="43"/>
      <c r="AD18" s="43"/>
      <c r="AE18" s="43"/>
      <c r="AF18" s="43"/>
      <c r="AG18" s="43"/>
      <c r="AH18" s="43"/>
      <c r="AI18" s="43"/>
      <c r="AJ18" s="43"/>
      <c r="AK18" s="43"/>
      <c r="AL18" s="43"/>
      <c r="AM18" s="43"/>
      <c r="AN18" s="43"/>
      <c r="AO18" s="43"/>
      <c r="AP18" s="43"/>
      <c r="AQ18" s="43"/>
      <c r="AR18" s="43"/>
      <c r="AS18" s="43"/>
      <c r="AT18" s="43"/>
      <c r="AU18" s="43"/>
      <c r="AV18" s="43"/>
      <c r="AW18" s="43"/>
      <c r="AX18" s="43"/>
      <c r="AY18" s="43"/>
      <c r="AZ18" s="43"/>
      <c r="BA18" s="43"/>
      <c r="BB18" s="43"/>
      <c r="BC18" s="43"/>
      <c r="BD18" s="43"/>
      <c r="BE18" s="43"/>
      <c r="BF18" s="43"/>
      <c r="BG18" s="43"/>
      <c r="BH18" s="43"/>
      <c r="BI18" s="43"/>
      <c r="BJ18" s="43"/>
      <c r="BK18" s="43"/>
      <c r="BL18" s="43"/>
    </row>
    <row r="19" spans="1:64" s="38" customFormat="1" ht="30" customHeight="1">
      <c r="A19" s="10"/>
      <c r="B19" s="58" t="s">
        <v>29</v>
      </c>
      <c r="C19" s="59"/>
      <c r="D19" s="60"/>
      <c r="E19" s="61"/>
      <c r="F19" s="62"/>
      <c r="G19" s="12"/>
      <c r="H19" s="3" t="str">
        <f t="shared" ca="1" si="5"/>
        <v/>
      </c>
      <c r="I19" s="63"/>
      <c r="J19" s="63"/>
      <c r="K19" s="63"/>
      <c r="L19" s="63"/>
      <c r="M19" s="63"/>
      <c r="N19" s="63"/>
      <c r="O19" s="63"/>
      <c r="P19" s="63"/>
      <c r="Q19" s="63"/>
      <c r="R19" s="63"/>
      <c r="S19" s="63"/>
      <c r="T19" s="63"/>
      <c r="U19" s="63"/>
      <c r="V19" s="63"/>
      <c r="W19" s="63"/>
      <c r="X19" s="63"/>
      <c r="Y19" s="63"/>
      <c r="Z19" s="63"/>
      <c r="AA19" s="63"/>
      <c r="AB19" s="63"/>
      <c r="AC19" s="63"/>
      <c r="AD19" s="63"/>
      <c r="AE19" s="63"/>
      <c r="AF19" s="63"/>
      <c r="AG19" s="63"/>
      <c r="AH19" s="63"/>
      <c r="AI19" s="63"/>
      <c r="AJ19" s="63"/>
      <c r="AK19" s="63"/>
      <c r="AL19" s="63"/>
      <c r="AM19" s="63"/>
      <c r="AN19" s="63"/>
      <c r="AO19" s="63"/>
      <c r="AP19" s="63"/>
      <c r="AQ19" s="63"/>
      <c r="AR19" s="63"/>
      <c r="AS19" s="63"/>
      <c r="AT19" s="63"/>
      <c r="AU19" s="63"/>
      <c r="AV19" s="63"/>
      <c r="AW19" s="63"/>
      <c r="AX19" s="63"/>
      <c r="AY19" s="63"/>
      <c r="AZ19" s="63"/>
      <c r="BA19" s="63"/>
      <c r="BB19" s="63"/>
      <c r="BC19" s="63"/>
      <c r="BD19" s="63"/>
      <c r="BE19" s="63"/>
      <c r="BF19" s="63"/>
      <c r="BG19" s="63"/>
      <c r="BH19" s="63"/>
      <c r="BI19" s="63"/>
      <c r="BJ19" s="63"/>
      <c r="BK19" s="63"/>
      <c r="BL19" s="63"/>
    </row>
    <row r="20" spans="1:64" s="38" customFormat="1" ht="30" customHeight="1">
      <c r="A20" s="10"/>
      <c r="B20" s="64" t="s">
        <v>30</v>
      </c>
      <c r="C20" s="65" t="s">
        <v>24</v>
      </c>
      <c r="D20" s="66">
        <v>1</v>
      </c>
      <c r="E20" s="67">
        <v>46071</v>
      </c>
      <c r="F20" s="67">
        <v>46079</v>
      </c>
      <c r="G20" s="12"/>
      <c r="H20" s="3">
        <f t="shared" ca="1" si="5"/>
        <v>9</v>
      </c>
      <c r="I20" s="43"/>
      <c r="J20" s="43"/>
      <c r="K20" s="43"/>
      <c r="L20" s="43"/>
      <c r="M20" s="43"/>
      <c r="N20" s="43"/>
      <c r="O20" s="43"/>
      <c r="P20" s="43"/>
      <c r="Q20" s="43"/>
      <c r="R20" s="43"/>
      <c r="S20" s="43"/>
      <c r="T20" s="43"/>
      <c r="U20" s="43"/>
      <c r="V20" s="43"/>
      <c r="W20" s="43"/>
      <c r="X20" s="43"/>
      <c r="Y20" s="43"/>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c r="BH20" s="43"/>
      <c r="BI20" s="43"/>
      <c r="BJ20" s="43"/>
      <c r="BK20" s="43"/>
      <c r="BL20" s="43"/>
    </row>
    <row r="21" spans="1:64" s="38" customFormat="1" ht="30" customHeight="1">
      <c r="A21" s="10"/>
      <c r="B21" s="64" t="s">
        <v>31</v>
      </c>
      <c r="C21" s="65" t="s">
        <v>17</v>
      </c>
      <c r="D21" s="66">
        <v>1</v>
      </c>
      <c r="E21" s="67">
        <v>46078</v>
      </c>
      <c r="F21" s="67">
        <v>46082</v>
      </c>
      <c r="G21" s="12"/>
      <c r="H21" s="3">
        <f t="shared" ca="1" si="5"/>
        <v>5</v>
      </c>
      <c r="I21" s="43"/>
      <c r="J21" s="43"/>
      <c r="K21" s="43"/>
      <c r="L21" s="43"/>
      <c r="M21" s="43"/>
      <c r="N21" s="43"/>
      <c r="O21" s="43"/>
      <c r="P21" s="43"/>
      <c r="Q21" s="43"/>
      <c r="R21" s="43"/>
      <c r="S21" s="43"/>
      <c r="T21" s="43"/>
      <c r="U21" s="43"/>
      <c r="V21" s="43"/>
      <c r="W21" s="43"/>
      <c r="X21" s="43"/>
      <c r="Y21" s="43"/>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c r="AZ21" s="43"/>
      <c r="BA21" s="43"/>
      <c r="BB21" s="43"/>
      <c r="BC21" s="43"/>
      <c r="BD21" s="43"/>
      <c r="BE21" s="43"/>
      <c r="BF21" s="43"/>
      <c r="BG21" s="43"/>
      <c r="BH21" s="43"/>
      <c r="BI21" s="43"/>
      <c r="BJ21" s="43"/>
      <c r="BK21" s="43"/>
      <c r="BL21" s="43"/>
    </row>
    <row r="22" spans="1:64" s="38" customFormat="1" ht="30" customHeight="1">
      <c r="A22" s="10"/>
      <c r="B22" s="64" t="s">
        <v>32</v>
      </c>
      <c r="C22" s="65" t="s">
        <v>17</v>
      </c>
      <c r="D22" s="66">
        <v>1</v>
      </c>
      <c r="E22" s="67">
        <v>46083</v>
      </c>
      <c r="F22" s="67">
        <v>46094</v>
      </c>
      <c r="G22" s="12"/>
      <c r="H22" s="3">
        <f t="shared" ca="1" si="5"/>
        <v>12</v>
      </c>
      <c r="I22" s="43"/>
      <c r="J22" s="43"/>
      <c r="K22" s="43"/>
      <c r="L22" s="43"/>
      <c r="M22" s="43"/>
      <c r="N22" s="43"/>
      <c r="O22" s="43"/>
      <c r="P22" s="43"/>
      <c r="Q22" s="43"/>
      <c r="R22" s="43"/>
      <c r="S22" s="43"/>
      <c r="T22" s="43"/>
      <c r="U22" s="43"/>
      <c r="V22" s="43"/>
      <c r="W22" s="43"/>
      <c r="X22" s="43"/>
      <c r="Y22" s="43"/>
      <c r="Z22" s="43"/>
      <c r="AA22" s="43"/>
      <c r="AB22" s="43"/>
      <c r="AC22" s="43"/>
      <c r="AD22" s="43"/>
      <c r="AE22" s="43"/>
      <c r="AF22" s="43"/>
      <c r="AG22" s="43"/>
      <c r="AH22" s="43"/>
      <c r="AI22" s="43"/>
      <c r="AJ22" s="43"/>
      <c r="AK22" s="43"/>
      <c r="AL22" s="43"/>
      <c r="AM22" s="43"/>
      <c r="AN22" s="43"/>
      <c r="AO22" s="43"/>
      <c r="AP22" s="43"/>
      <c r="AQ22" s="43"/>
      <c r="AR22" s="43"/>
      <c r="AS22" s="43"/>
      <c r="AT22" s="43"/>
      <c r="AU22" s="43"/>
      <c r="AV22" s="43"/>
      <c r="AW22" s="43"/>
      <c r="AX22" s="43"/>
      <c r="AY22" s="43"/>
      <c r="AZ22" s="43"/>
      <c r="BA22" s="43"/>
      <c r="BB22" s="43"/>
      <c r="BC22" s="43"/>
      <c r="BD22" s="43"/>
      <c r="BE22" s="43"/>
      <c r="BF22" s="43"/>
      <c r="BG22" s="43"/>
      <c r="BH22" s="43"/>
      <c r="BI22" s="43"/>
      <c r="BJ22" s="43"/>
      <c r="BK22" s="43"/>
      <c r="BL22" s="43"/>
    </row>
    <row r="23" spans="1:64" s="38" customFormat="1" ht="30" customHeight="1">
      <c r="A23" s="10"/>
      <c r="B23" s="64" t="s">
        <v>33</v>
      </c>
      <c r="C23" s="65" t="s">
        <v>17</v>
      </c>
      <c r="D23" s="66">
        <v>1</v>
      </c>
      <c r="E23" s="67">
        <v>46090</v>
      </c>
      <c r="F23" s="67">
        <v>46098</v>
      </c>
      <c r="G23" s="12"/>
      <c r="H23" s="3">
        <f t="shared" ca="1" si="5"/>
        <v>9</v>
      </c>
      <c r="I23" s="43"/>
      <c r="J23" s="43"/>
      <c r="K23" s="43"/>
      <c r="L23" s="43"/>
      <c r="M23" s="43"/>
      <c r="N23" s="43"/>
      <c r="O23" s="43"/>
      <c r="P23" s="43"/>
      <c r="Q23" s="43"/>
      <c r="R23" s="43"/>
      <c r="S23" s="43"/>
      <c r="T23" s="43"/>
      <c r="U23" s="43"/>
      <c r="V23" s="43"/>
      <c r="W23" s="43"/>
      <c r="X23" s="43"/>
      <c r="Y23" s="43"/>
      <c r="Z23" s="43"/>
      <c r="AA23" s="43"/>
      <c r="AB23" s="43"/>
      <c r="AC23" s="43"/>
      <c r="AD23" s="43"/>
      <c r="AE23" s="43"/>
      <c r="AF23" s="43"/>
      <c r="AG23" s="43"/>
      <c r="AH23" s="43"/>
      <c r="AI23" s="43"/>
      <c r="AJ23" s="43"/>
      <c r="AK23" s="43"/>
      <c r="AL23" s="43"/>
      <c r="AM23" s="43"/>
      <c r="AN23" s="43"/>
      <c r="AO23" s="43"/>
      <c r="AP23" s="43"/>
      <c r="AQ23" s="43"/>
      <c r="AR23" s="43"/>
      <c r="AS23" s="43"/>
      <c r="AT23" s="43"/>
      <c r="AU23" s="43"/>
      <c r="AV23" s="43"/>
      <c r="AW23" s="43"/>
      <c r="AX23" s="43"/>
      <c r="AY23" s="43"/>
      <c r="AZ23" s="43"/>
      <c r="BA23" s="43"/>
      <c r="BB23" s="43"/>
      <c r="BC23" s="43"/>
      <c r="BD23" s="43"/>
      <c r="BE23" s="43"/>
      <c r="BF23" s="43"/>
      <c r="BG23" s="43"/>
      <c r="BH23" s="43"/>
      <c r="BI23" s="43"/>
      <c r="BJ23" s="43"/>
      <c r="BK23" s="43"/>
      <c r="BL23" s="43"/>
    </row>
    <row r="24" spans="1:64" s="38" customFormat="1" ht="30" customHeight="1">
      <c r="A24" s="10"/>
      <c r="B24" s="68" t="s">
        <v>34</v>
      </c>
      <c r="C24" s="69"/>
      <c r="D24" s="70"/>
      <c r="E24" s="71"/>
      <c r="F24" s="72"/>
      <c r="G24" s="12"/>
      <c r="H24" s="3" t="str">
        <f t="shared" ca="1" si="5"/>
        <v/>
      </c>
      <c r="I24" s="73"/>
      <c r="J24" s="73"/>
      <c r="K24" s="73"/>
      <c r="L24" s="73"/>
      <c r="M24" s="73"/>
      <c r="N24" s="73"/>
      <c r="O24" s="73"/>
      <c r="P24" s="73"/>
      <c r="Q24" s="73"/>
      <c r="R24" s="73"/>
      <c r="S24" s="73"/>
      <c r="T24" s="73"/>
      <c r="U24" s="73"/>
      <c r="V24" s="73"/>
      <c r="W24" s="73"/>
      <c r="X24" s="73"/>
      <c r="Y24" s="73"/>
      <c r="Z24" s="73"/>
      <c r="AA24" s="73"/>
      <c r="AB24" s="73"/>
      <c r="AC24" s="73"/>
      <c r="AD24" s="73"/>
      <c r="AE24" s="73"/>
      <c r="AF24" s="73"/>
      <c r="AG24" s="73"/>
      <c r="AH24" s="73"/>
      <c r="AI24" s="73"/>
      <c r="AJ24" s="73"/>
      <c r="AK24" s="73"/>
      <c r="AL24" s="73"/>
      <c r="AM24" s="73"/>
      <c r="AN24" s="73"/>
      <c r="AO24" s="73"/>
      <c r="AP24" s="73"/>
      <c r="AQ24" s="73"/>
      <c r="AR24" s="73"/>
      <c r="AS24" s="73"/>
      <c r="AT24" s="73"/>
      <c r="AU24" s="73"/>
      <c r="AV24" s="73"/>
      <c r="AW24" s="73"/>
      <c r="AX24" s="73"/>
      <c r="AY24" s="73"/>
      <c r="AZ24" s="73"/>
      <c r="BA24" s="73"/>
      <c r="BB24" s="73"/>
      <c r="BC24" s="73"/>
      <c r="BD24" s="73"/>
      <c r="BE24" s="73"/>
      <c r="BF24" s="73"/>
      <c r="BG24" s="73"/>
      <c r="BH24" s="73"/>
      <c r="BI24" s="73"/>
      <c r="BJ24" s="73"/>
      <c r="BK24" s="73"/>
      <c r="BL24" s="73"/>
    </row>
    <row r="25" spans="1:64" s="38" customFormat="1" ht="30" customHeight="1">
      <c r="A25" s="10"/>
      <c r="B25" s="74" t="s">
        <v>35</v>
      </c>
      <c r="C25" s="75" t="s">
        <v>36</v>
      </c>
      <c r="D25" s="76">
        <v>1</v>
      </c>
      <c r="E25" s="77">
        <v>46073</v>
      </c>
      <c r="F25" s="77">
        <v>46091</v>
      </c>
      <c r="G25" s="12"/>
      <c r="H25" s="3">
        <f t="shared" ca="1" si="5"/>
        <v>19</v>
      </c>
      <c r="I25" s="43"/>
      <c r="J25" s="43"/>
      <c r="K25" s="43"/>
      <c r="L25" s="43"/>
      <c r="M25" s="43"/>
      <c r="N25" s="43"/>
      <c r="O25" s="43"/>
      <c r="P25" s="43"/>
      <c r="Q25" s="43"/>
      <c r="R25" s="43"/>
      <c r="S25" s="43"/>
      <c r="T25" s="43"/>
      <c r="U25" s="43"/>
      <c r="V25" s="43"/>
      <c r="W25" s="43"/>
      <c r="X25" s="43"/>
      <c r="Y25" s="43"/>
      <c r="Z25" s="43"/>
      <c r="AA25" s="43"/>
      <c r="AB25" s="43"/>
      <c r="AC25" s="43"/>
      <c r="AD25" s="43"/>
      <c r="AE25" s="43"/>
      <c r="AF25" s="43"/>
      <c r="AG25" s="43"/>
      <c r="AH25" s="43"/>
      <c r="AI25" s="43"/>
      <c r="AJ25" s="43"/>
      <c r="AK25" s="43"/>
      <c r="AL25" s="43"/>
      <c r="AM25" s="43"/>
      <c r="AN25" s="43"/>
      <c r="AO25" s="43"/>
      <c r="AP25" s="43"/>
      <c r="AQ25" s="43"/>
      <c r="AR25" s="43"/>
      <c r="AS25" s="43"/>
      <c r="AT25" s="43"/>
      <c r="AU25" s="43"/>
      <c r="AV25" s="43"/>
      <c r="AW25" s="43"/>
      <c r="AX25" s="43"/>
      <c r="AY25" s="43"/>
      <c r="AZ25" s="43"/>
      <c r="BA25" s="43"/>
      <c r="BB25" s="43"/>
      <c r="BC25" s="43"/>
      <c r="BD25" s="43"/>
      <c r="BE25" s="43"/>
      <c r="BF25" s="43"/>
      <c r="BG25" s="43"/>
      <c r="BH25" s="43"/>
      <c r="BI25" s="43"/>
      <c r="BJ25" s="43"/>
      <c r="BK25" s="43"/>
      <c r="BL25" s="43"/>
    </row>
    <row r="26" spans="1:64" s="38" customFormat="1" ht="30" customHeight="1">
      <c r="A26" s="10"/>
      <c r="B26" s="74" t="s">
        <v>37</v>
      </c>
      <c r="C26" s="75" t="s">
        <v>38</v>
      </c>
      <c r="D26" s="76">
        <v>1</v>
      </c>
      <c r="E26" s="77">
        <v>46076</v>
      </c>
      <c r="F26" s="77">
        <v>46107</v>
      </c>
      <c r="G26" s="12"/>
      <c r="H26" s="3">
        <f t="shared" ca="1" si="5"/>
        <v>32</v>
      </c>
      <c r="I26" s="43"/>
      <c r="J26" s="43"/>
      <c r="K26" s="43"/>
      <c r="L26" s="43"/>
      <c r="M26" s="43"/>
      <c r="N26" s="43"/>
      <c r="O26" s="43"/>
      <c r="P26" s="43"/>
      <c r="Q26" s="43"/>
      <c r="R26" s="43"/>
      <c r="S26" s="43"/>
      <c r="T26" s="43"/>
      <c r="U26" s="43"/>
      <c r="V26" s="43"/>
      <c r="W26" s="43"/>
      <c r="X26" s="43"/>
      <c r="Y26" s="43"/>
      <c r="Z26" s="43"/>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c r="AZ26" s="43"/>
      <c r="BA26" s="43"/>
      <c r="BB26" s="43"/>
      <c r="BC26" s="43"/>
      <c r="BD26" s="43"/>
      <c r="BE26" s="43"/>
      <c r="BF26" s="43"/>
      <c r="BG26" s="43"/>
      <c r="BH26" s="43"/>
      <c r="BI26" s="43"/>
      <c r="BJ26" s="43"/>
      <c r="BK26" s="43"/>
      <c r="BL26" s="43"/>
    </row>
    <row r="27" spans="1:64" s="38" customFormat="1" ht="30" customHeight="1">
      <c r="A27" s="10"/>
      <c r="B27" s="74" t="s">
        <v>39</v>
      </c>
      <c r="C27" s="75" t="s">
        <v>38</v>
      </c>
      <c r="D27" s="76">
        <v>1</v>
      </c>
      <c r="E27" s="77">
        <v>46081</v>
      </c>
      <c r="F27" s="77">
        <v>46107</v>
      </c>
      <c r="G27" s="12"/>
      <c r="H27" s="3">
        <f t="shared" ca="1" si="5"/>
        <v>27</v>
      </c>
      <c r="I27" s="43"/>
      <c r="J27" s="43"/>
      <c r="K27" s="43"/>
      <c r="L27" s="43"/>
      <c r="M27" s="43"/>
      <c r="N27" s="43"/>
      <c r="O27" s="43"/>
      <c r="P27" s="43"/>
      <c r="Q27" s="43"/>
      <c r="R27" s="43"/>
      <c r="S27" s="43"/>
      <c r="T27" s="43"/>
      <c r="U27" s="43"/>
      <c r="V27" s="43"/>
      <c r="W27" s="43"/>
      <c r="X27" s="43"/>
      <c r="Y27" s="43"/>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c r="AZ27" s="43"/>
      <c r="BA27" s="43"/>
      <c r="BB27" s="43"/>
      <c r="BC27" s="43"/>
      <c r="BD27" s="43"/>
      <c r="BE27" s="43"/>
      <c r="BF27" s="43"/>
      <c r="BG27" s="43"/>
      <c r="BH27" s="43"/>
      <c r="BI27" s="43"/>
      <c r="BJ27" s="43"/>
      <c r="BK27" s="43"/>
      <c r="BL27" s="43"/>
    </row>
    <row r="28" spans="1:64" s="38" customFormat="1" ht="30" customHeight="1">
      <c r="A28" s="10"/>
      <c r="B28" s="88" t="s">
        <v>40</v>
      </c>
      <c r="C28" s="89"/>
      <c r="D28" s="90"/>
      <c r="E28" s="91"/>
      <c r="F28" s="92"/>
      <c r="G28" s="12"/>
      <c r="H28" s="3" t="str">
        <f t="shared" ca="1" si="5"/>
        <v/>
      </c>
      <c r="I28" s="73"/>
      <c r="J28" s="73"/>
      <c r="K28" s="73"/>
      <c r="L28" s="73"/>
      <c r="M28" s="73"/>
      <c r="N28" s="73"/>
      <c r="O28" s="73"/>
      <c r="P28" s="73"/>
      <c r="Q28" s="73"/>
      <c r="R28" s="73"/>
      <c r="S28" s="73"/>
      <c r="T28" s="73"/>
      <c r="U28" s="73"/>
      <c r="V28" s="73"/>
      <c r="W28" s="73"/>
      <c r="X28" s="73"/>
      <c r="Y28" s="73"/>
      <c r="Z28" s="73"/>
      <c r="AA28" s="73"/>
      <c r="AB28" s="73"/>
      <c r="AC28" s="73"/>
      <c r="AD28" s="73"/>
      <c r="AE28" s="73"/>
      <c r="AF28" s="73"/>
      <c r="AG28" s="73"/>
      <c r="AH28" s="73"/>
      <c r="AI28" s="73"/>
      <c r="AJ28" s="73"/>
      <c r="AK28" s="73"/>
      <c r="AL28" s="73"/>
      <c r="AM28" s="73"/>
      <c r="AN28" s="73"/>
      <c r="AO28" s="73"/>
      <c r="AP28" s="73"/>
      <c r="AQ28" s="73"/>
      <c r="AR28" s="73"/>
      <c r="AS28" s="73"/>
      <c r="AT28" s="73"/>
      <c r="AU28" s="73"/>
      <c r="AV28" s="73"/>
      <c r="AW28" s="73"/>
      <c r="AX28" s="73"/>
      <c r="AY28" s="73"/>
      <c r="AZ28" s="73"/>
      <c r="BA28" s="73"/>
      <c r="BB28" s="73"/>
      <c r="BC28" s="73"/>
      <c r="BD28" s="73"/>
      <c r="BE28" s="73"/>
      <c r="BF28" s="73"/>
      <c r="BG28" s="73"/>
      <c r="BH28" s="73"/>
      <c r="BI28" s="73"/>
      <c r="BJ28" s="73"/>
      <c r="BK28" s="73"/>
      <c r="BL28" s="73"/>
    </row>
    <row r="29" spans="1:64" s="38" customFormat="1" ht="30" customHeight="1">
      <c r="A29" s="10"/>
      <c r="B29" s="93" t="s">
        <v>41</v>
      </c>
      <c r="C29" s="94" t="s">
        <v>42</v>
      </c>
      <c r="D29" s="95">
        <v>0.9</v>
      </c>
      <c r="E29" s="96">
        <v>46071</v>
      </c>
      <c r="F29" s="96">
        <v>46077</v>
      </c>
      <c r="G29" s="12"/>
      <c r="H29" s="3">
        <f t="shared" ca="1" si="5"/>
        <v>7</v>
      </c>
      <c r="I29" s="43"/>
      <c r="J29" s="43"/>
      <c r="K29" s="43"/>
      <c r="L29" s="43"/>
      <c r="M29" s="43"/>
      <c r="N29" s="43"/>
      <c r="O29" s="43"/>
      <c r="P29" s="43"/>
      <c r="Q29" s="43"/>
      <c r="R29" s="43"/>
      <c r="S29" s="43"/>
      <c r="T29" s="43"/>
      <c r="U29" s="43"/>
      <c r="V29" s="43"/>
      <c r="W29" s="43"/>
      <c r="X29" s="43"/>
      <c r="Y29" s="43"/>
      <c r="Z29" s="43"/>
      <c r="AA29" s="43"/>
      <c r="AB29" s="43"/>
      <c r="AC29" s="43"/>
      <c r="AD29" s="43"/>
      <c r="AE29" s="43"/>
      <c r="AF29" s="43"/>
      <c r="AG29" s="43"/>
      <c r="AH29" s="43"/>
      <c r="AI29" s="43"/>
      <c r="AJ29" s="43"/>
      <c r="AK29" s="43"/>
      <c r="AL29" s="43"/>
      <c r="AM29" s="43"/>
      <c r="AN29" s="43"/>
      <c r="AO29" s="43"/>
      <c r="AP29" s="43"/>
      <c r="AQ29" s="43"/>
      <c r="AR29" s="43"/>
      <c r="AS29" s="43"/>
      <c r="AT29" s="43"/>
      <c r="AU29" s="43"/>
      <c r="AV29" s="43"/>
      <c r="AW29" s="43"/>
      <c r="AX29" s="43"/>
      <c r="AY29" s="43"/>
      <c r="AZ29" s="43"/>
      <c r="BA29" s="43"/>
      <c r="BB29" s="43"/>
      <c r="BC29" s="43"/>
      <c r="BD29" s="43"/>
      <c r="BE29" s="43"/>
      <c r="BF29" s="43"/>
      <c r="BG29" s="43"/>
      <c r="BH29" s="43"/>
      <c r="BI29" s="43"/>
      <c r="BJ29" s="43"/>
      <c r="BK29" s="43"/>
      <c r="BL29" s="43"/>
    </row>
    <row r="30" spans="1:64" ht="30" customHeight="1">
      <c r="B30" s="93" t="s">
        <v>43</v>
      </c>
      <c r="C30" s="94" t="s">
        <v>38</v>
      </c>
      <c r="D30" s="95">
        <v>0</v>
      </c>
      <c r="E30" s="96">
        <v>46076</v>
      </c>
      <c r="F30" s="96">
        <v>46084</v>
      </c>
      <c r="G30" s="12"/>
      <c r="H30" s="3">
        <f t="shared" ca="1" si="5"/>
        <v>9</v>
      </c>
      <c r="I30" s="43"/>
      <c r="J30" s="43"/>
      <c r="K30" s="43"/>
      <c r="L30" s="43"/>
      <c r="M30" s="43"/>
      <c r="N30" s="43"/>
      <c r="O30" s="43"/>
      <c r="P30" s="43"/>
      <c r="Q30" s="43"/>
      <c r="R30" s="43"/>
      <c r="S30" s="43"/>
      <c r="T30" s="43"/>
      <c r="U30" s="43"/>
      <c r="V30" s="43"/>
      <c r="W30" s="43"/>
      <c r="X30" s="43"/>
      <c r="Y30" s="43"/>
      <c r="Z30" s="43"/>
      <c r="AA30" s="43"/>
      <c r="AB30" s="43"/>
      <c r="AC30" s="43"/>
      <c r="AD30" s="43"/>
      <c r="AE30" s="43"/>
      <c r="AF30" s="43"/>
      <c r="AG30" s="43"/>
      <c r="AH30" s="43"/>
      <c r="AI30" s="43"/>
      <c r="AJ30" s="43"/>
      <c r="AK30" s="43"/>
      <c r="AL30" s="43"/>
      <c r="AM30" s="43"/>
      <c r="AN30" s="43"/>
      <c r="AO30" s="43"/>
      <c r="AP30" s="43"/>
      <c r="AQ30" s="43"/>
      <c r="AR30" s="43"/>
      <c r="AS30" s="43"/>
      <c r="AT30" s="43"/>
      <c r="AU30" s="43"/>
      <c r="AV30" s="43"/>
      <c r="AW30" s="43"/>
      <c r="AX30" s="43"/>
      <c r="AY30" s="43"/>
      <c r="AZ30" s="43"/>
      <c r="BA30" s="43"/>
      <c r="BB30" s="43"/>
      <c r="BC30" s="43"/>
      <c r="BD30" s="43"/>
      <c r="BE30" s="43"/>
      <c r="BF30" s="43"/>
      <c r="BG30" s="43"/>
      <c r="BH30" s="43"/>
      <c r="BI30" s="43"/>
      <c r="BJ30" s="43"/>
      <c r="BK30" s="43"/>
      <c r="BL30" s="43"/>
    </row>
    <row r="31" spans="1:64" ht="30" customHeight="1">
      <c r="B31" s="93" t="s">
        <v>44</v>
      </c>
      <c r="C31" s="94" t="s">
        <v>38</v>
      </c>
      <c r="D31" s="95">
        <v>0</v>
      </c>
      <c r="E31" s="96">
        <v>46084</v>
      </c>
      <c r="F31" s="96">
        <v>46094</v>
      </c>
      <c r="G31" s="12"/>
      <c r="H31" s="3">
        <f t="shared" ca="1" si="5"/>
        <v>11</v>
      </c>
      <c r="I31" s="43"/>
      <c r="J31" s="43"/>
      <c r="K31" s="43"/>
      <c r="L31" s="43"/>
      <c r="M31" s="43"/>
      <c r="N31" s="43"/>
      <c r="O31" s="43"/>
      <c r="P31" s="43"/>
      <c r="Q31" s="43"/>
      <c r="R31" s="43"/>
      <c r="S31" s="43"/>
      <c r="T31" s="43"/>
      <c r="U31" s="43"/>
      <c r="V31" s="43"/>
      <c r="W31" s="43"/>
      <c r="X31" s="43"/>
      <c r="Y31" s="43"/>
      <c r="Z31" s="43"/>
      <c r="AA31" s="43"/>
      <c r="AB31" s="43"/>
      <c r="AC31" s="43"/>
      <c r="AD31" s="43"/>
      <c r="AE31" s="43"/>
      <c r="AF31" s="43"/>
      <c r="AG31" s="43"/>
      <c r="AH31" s="43"/>
      <c r="AI31" s="43"/>
      <c r="AJ31" s="43"/>
      <c r="AK31" s="43"/>
      <c r="AL31" s="43"/>
      <c r="AM31" s="43"/>
      <c r="AN31" s="43"/>
      <c r="AO31" s="43"/>
      <c r="AP31" s="43"/>
      <c r="AQ31" s="43"/>
      <c r="AR31" s="43"/>
      <c r="AS31" s="43"/>
      <c r="AT31" s="43"/>
      <c r="AU31" s="43"/>
      <c r="AV31" s="43"/>
      <c r="AW31" s="43"/>
      <c r="AX31" s="43"/>
      <c r="AY31" s="43"/>
      <c r="AZ31" s="43"/>
      <c r="BA31" s="43"/>
      <c r="BB31" s="43"/>
      <c r="BC31" s="43"/>
      <c r="BD31" s="43"/>
      <c r="BE31" s="43"/>
      <c r="BF31" s="43"/>
      <c r="BG31" s="43"/>
      <c r="BH31" s="43"/>
      <c r="BI31" s="43"/>
      <c r="BJ31" s="43"/>
      <c r="BK31" s="43"/>
      <c r="BL31" s="43"/>
    </row>
    <row r="32" spans="1:64" ht="30" customHeight="1">
      <c r="B32" s="97" t="s">
        <v>45</v>
      </c>
      <c r="C32" s="98" t="s">
        <v>42</v>
      </c>
      <c r="D32" s="99">
        <v>0</v>
      </c>
      <c r="E32" s="100">
        <v>46090</v>
      </c>
      <c r="F32" s="100">
        <v>46098</v>
      </c>
      <c r="G32" s="12"/>
      <c r="H32" s="3"/>
      <c r="I32" s="43"/>
      <c r="J32" s="43"/>
      <c r="K32" s="43"/>
      <c r="L32" s="43"/>
      <c r="M32" s="43"/>
      <c r="N32" s="43"/>
      <c r="O32" s="43"/>
      <c r="P32" s="43"/>
      <c r="Q32" s="43"/>
      <c r="R32" s="43"/>
      <c r="S32" s="43"/>
      <c r="T32" s="43"/>
      <c r="U32" s="43"/>
      <c r="V32" s="43"/>
      <c r="W32" s="43"/>
      <c r="X32" s="43"/>
      <c r="Y32" s="43"/>
      <c r="Z32" s="43"/>
      <c r="AA32" s="43"/>
      <c r="AB32" s="43"/>
      <c r="AC32" s="43"/>
      <c r="AD32" s="43"/>
      <c r="AE32" s="43"/>
      <c r="AF32" s="43"/>
      <c r="AG32" s="43"/>
      <c r="AH32" s="43"/>
      <c r="AI32" s="43"/>
      <c r="AJ32" s="43"/>
      <c r="AK32" s="43"/>
      <c r="AL32" s="43"/>
      <c r="AM32" s="43"/>
      <c r="AN32" s="43"/>
      <c r="AO32" s="43"/>
      <c r="AP32" s="43"/>
      <c r="AQ32" s="43"/>
      <c r="AR32" s="43"/>
      <c r="AS32" s="43"/>
      <c r="AT32" s="43"/>
      <c r="AU32" s="43"/>
      <c r="AV32" s="43"/>
      <c r="AW32" s="43"/>
      <c r="AX32" s="43"/>
      <c r="AY32" s="43"/>
      <c r="AZ32" s="43"/>
      <c r="BA32" s="43"/>
      <c r="BB32" s="43"/>
      <c r="BC32" s="43"/>
      <c r="BD32" s="43"/>
      <c r="BE32" s="43"/>
      <c r="BF32" s="43"/>
      <c r="BG32" s="43"/>
      <c r="BH32" s="43"/>
      <c r="BI32" s="43"/>
      <c r="BJ32" s="43"/>
      <c r="BK32" s="43"/>
      <c r="BL32" s="43"/>
    </row>
    <row r="33" spans="1:64" ht="30" customHeight="1">
      <c r="B33" s="101" t="s">
        <v>46</v>
      </c>
      <c r="C33" s="102"/>
      <c r="D33" s="103"/>
      <c r="E33" s="104"/>
      <c r="F33" s="105"/>
      <c r="G33" s="12"/>
      <c r="H33" s="3" t="str">
        <f t="shared" ca="1" si="5"/>
        <v/>
      </c>
      <c r="I33" s="63"/>
      <c r="J33" s="63"/>
      <c r="K33" s="63"/>
      <c r="L33" s="63"/>
      <c r="M33" s="63"/>
      <c r="N33" s="63"/>
      <c r="O33" s="63"/>
      <c r="P33" s="63"/>
      <c r="Q33" s="63"/>
      <c r="R33" s="63"/>
      <c r="S33" s="63"/>
      <c r="T33" s="63"/>
      <c r="U33" s="63"/>
      <c r="V33" s="63"/>
      <c r="W33" s="63"/>
      <c r="X33" s="63"/>
      <c r="Y33" s="63"/>
      <c r="Z33" s="63"/>
      <c r="AA33" s="63"/>
      <c r="AB33" s="63"/>
      <c r="AC33" s="63"/>
      <c r="AD33" s="63"/>
      <c r="AE33" s="63"/>
      <c r="AF33" s="63"/>
      <c r="AG33" s="63"/>
      <c r="AH33" s="63"/>
      <c r="AI33" s="63"/>
      <c r="AJ33" s="63"/>
      <c r="AK33" s="63"/>
      <c r="AL33" s="63"/>
      <c r="AM33" s="63"/>
      <c r="AN33" s="63"/>
      <c r="AO33" s="63"/>
      <c r="AP33" s="63"/>
      <c r="AQ33" s="63"/>
      <c r="AR33" s="63"/>
      <c r="AS33" s="63"/>
      <c r="AT33" s="63"/>
      <c r="AU33" s="63"/>
      <c r="AV33" s="63"/>
      <c r="AW33" s="63"/>
      <c r="AX33" s="63"/>
      <c r="AY33" s="63"/>
      <c r="AZ33" s="63"/>
      <c r="BA33" s="63"/>
      <c r="BB33" s="63"/>
      <c r="BC33" s="63"/>
      <c r="BD33" s="63"/>
      <c r="BE33" s="63"/>
      <c r="BF33" s="63"/>
      <c r="BG33" s="63"/>
      <c r="BH33" s="63"/>
      <c r="BI33" s="63"/>
      <c r="BJ33" s="63"/>
      <c r="BK33" s="63"/>
      <c r="BL33" s="63"/>
    </row>
    <row r="34" spans="1:64" ht="30" customHeight="1">
      <c r="B34" s="112" t="s">
        <v>47</v>
      </c>
      <c r="C34" s="113" t="s">
        <v>15</v>
      </c>
      <c r="D34" s="114">
        <v>0</v>
      </c>
      <c r="E34" s="115">
        <v>46083</v>
      </c>
      <c r="F34" s="115">
        <v>46086</v>
      </c>
      <c r="G34" s="12"/>
      <c r="H34" s="3">
        <f t="shared" ca="1" si="5"/>
        <v>4</v>
      </c>
      <c r="I34" s="43"/>
      <c r="J34" s="43"/>
      <c r="K34" s="43"/>
      <c r="L34" s="43"/>
      <c r="M34" s="43"/>
      <c r="N34" s="43"/>
      <c r="O34" s="43"/>
      <c r="P34" s="43"/>
      <c r="Q34" s="43"/>
      <c r="R34" s="43"/>
      <c r="S34" s="43"/>
      <c r="T34" s="43"/>
      <c r="U34" s="43"/>
      <c r="V34" s="43"/>
      <c r="W34" s="43"/>
      <c r="X34" s="43"/>
      <c r="Y34" s="43"/>
      <c r="Z34" s="43"/>
      <c r="AA34" s="43"/>
      <c r="AB34" s="43"/>
      <c r="AC34" s="43"/>
      <c r="AD34" s="43"/>
      <c r="AE34" s="43"/>
      <c r="AF34" s="43"/>
      <c r="AG34" s="43"/>
      <c r="AH34" s="43"/>
      <c r="AI34" s="43"/>
      <c r="AJ34" s="43"/>
      <c r="AK34" s="43"/>
      <c r="AL34" s="43"/>
      <c r="AM34" s="43"/>
      <c r="AN34" s="43"/>
      <c r="AO34" s="43"/>
      <c r="AP34" s="43"/>
      <c r="AQ34" s="43"/>
      <c r="AR34" s="43"/>
      <c r="AS34" s="43"/>
      <c r="AT34" s="43"/>
      <c r="AU34" s="43"/>
      <c r="AV34" s="43"/>
      <c r="AW34" s="43"/>
      <c r="AX34" s="43"/>
      <c r="AY34" s="43"/>
      <c r="AZ34" s="43"/>
      <c r="BA34" s="43"/>
      <c r="BB34" s="43"/>
      <c r="BC34" s="43"/>
      <c r="BD34" s="43"/>
      <c r="BE34" s="43"/>
      <c r="BF34" s="43"/>
      <c r="BG34" s="43"/>
      <c r="BH34" s="43"/>
      <c r="BI34" s="43"/>
      <c r="BJ34" s="43"/>
      <c r="BK34" s="43"/>
      <c r="BL34" s="43"/>
    </row>
    <row r="35" spans="1:64" ht="30" customHeight="1">
      <c r="B35" s="112" t="s">
        <v>48</v>
      </c>
      <c r="C35" s="113" t="s">
        <v>15</v>
      </c>
      <c r="D35" s="114">
        <v>0</v>
      </c>
      <c r="E35" s="115">
        <v>46086</v>
      </c>
      <c r="F35" s="115">
        <v>46089</v>
      </c>
      <c r="G35" s="12"/>
      <c r="H35" s="3">
        <f t="shared" ca="1" si="5"/>
        <v>4</v>
      </c>
      <c r="I35" s="43"/>
      <c r="J35" s="43"/>
      <c r="K35" s="43"/>
      <c r="L35" s="43"/>
      <c r="M35" s="43"/>
      <c r="N35" s="43"/>
      <c r="O35" s="43"/>
      <c r="P35" s="43"/>
      <c r="Q35" s="43"/>
      <c r="R35" s="43"/>
      <c r="S35" s="43"/>
      <c r="T35" s="43"/>
      <c r="U35" s="43"/>
      <c r="V35" s="43"/>
      <c r="W35" s="43"/>
      <c r="X35" s="43"/>
      <c r="Y35" s="43"/>
      <c r="Z35" s="43"/>
      <c r="AA35" s="43"/>
      <c r="AB35" s="43"/>
      <c r="AC35" s="43"/>
      <c r="AD35" s="43"/>
      <c r="AE35" s="43"/>
      <c r="AF35" s="43"/>
      <c r="AG35" s="43"/>
      <c r="AH35" s="43"/>
      <c r="AI35" s="43"/>
      <c r="AJ35" s="43"/>
      <c r="AK35" s="43"/>
      <c r="AL35" s="43"/>
      <c r="AM35" s="43"/>
      <c r="AN35" s="43"/>
      <c r="AO35" s="43"/>
      <c r="AP35" s="43"/>
      <c r="AQ35" s="43"/>
      <c r="AR35" s="43"/>
      <c r="AS35" s="43"/>
      <c r="AT35" s="43"/>
      <c r="AU35" s="43"/>
      <c r="AV35" s="43"/>
      <c r="AW35" s="43"/>
      <c r="AX35" s="43"/>
      <c r="AY35" s="43"/>
      <c r="AZ35" s="43"/>
      <c r="BA35" s="43"/>
      <c r="BB35" s="43"/>
      <c r="BC35" s="43"/>
      <c r="BD35" s="43"/>
      <c r="BE35" s="43"/>
      <c r="BF35" s="43"/>
      <c r="BG35" s="43"/>
      <c r="BH35" s="43"/>
      <c r="BI35" s="43"/>
      <c r="BJ35" s="43"/>
      <c r="BK35" s="43"/>
      <c r="BL35" s="43"/>
    </row>
    <row r="36" spans="1:64" ht="30" customHeight="1">
      <c r="B36" s="106" t="s">
        <v>49</v>
      </c>
      <c r="C36" s="107"/>
      <c r="D36" s="108"/>
      <c r="E36" s="109"/>
      <c r="F36" s="110"/>
      <c r="G36" s="12"/>
      <c r="H36" s="3" t="str">
        <f t="shared" ca="1" si="5"/>
        <v/>
      </c>
      <c r="I36" s="73"/>
      <c r="J36" s="73"/>
      <c r="K36" s="73"/>
      <c r="L36" s="73"/>
      <c r="M36" s="73"/>
      <c r="N36" s="73"/>
      <c r="O36" s="73"/>
      <c r="P36" s="73"/>
      <c r="Q36" s="73"/>
      <c r="R36" s="73"/>
      <c r="S36" s="73"/>
      <c r="T36" s="73"/>
      <c r="U36" s="73"/>
      <c r="V36" s="73"/>
      <c r="W36" s="73"/>
      <c r="X36" s="73"/>
      <c r="Y36" s="73"/>
      <c r="Z36" s="73"/>
      <c r="AA36" s="73"/>
      <c r="AB36" s="73"/>
      <c r="AC36" s="73"/>
      <c r="AD36" s="73"/>
      <c r="AE36" s="73"/>
      <c r="AF36" s="73"/>
      <c r="AG36" s="73"/>
      <c r="AH36" s="73"/>
      <c r="AI36" s="73"/>
      <c r="AJ36" s="73"/>
      <c r="AK36" s="73"/>
      <c r="AL36" s="73"/>
      <c r="AM36" s="73"/>
      <c r="AN36" s="73"/>
      <c r="AO36" s="73"/>
      <c r="AP36" s="73"/>
      <c r="AQ36" s="73"/>
      <c r="AR36" s="73"/>
      <c r="AS36" s="73"/>
      <c r="AT36" s="73"/>
      <c r="AU36" s="73"/>
      <c r="AV36" s="73"/>
      <c r="AW36" s="73"/>
      <c r="AX36" s="73"/>
      <c r="AY36" s="73"/>
      <c r="AZ36" s="73"/>
      <c r="BA36" s="73"/>
      <c r="BB36" s="73"/>
      <c r="BC36" s="73"/>
      <c r="BD36" s="73"/>
      <c r="BE36" s="73"/>
      <c r="BF36" s="73"/>
      <c r="BG36" s="73"/>
      <c r="BH36" s="73"/>
      <c r="BI36" s="73"/>
      <c r="BJ36" s="73"/>
      <c r="BK36" s="73"/>
      <c r="BL36" s="73"/>
    </row>
    <row r="37" spans="1:64" ht="30" customHeight="1">
      <c r="B37" s="116" t="s">
        <v>50</v>
      </c>
      <c r="C37" s="117" t="s">
        <v>51</v>
      </c>
      <c r="D37" s="118">
        <v>0</v>
      </c>
      <c r="E37" s="119">
        <v>46107</v>
      </c>
      <c r="F37" s="119">
        <v>46117</v>
      </c>
      <c r="G37" s="12"/>
      <c r="H37" s="3">
        <f t="shared" ca="1" si="5"/>
        <v>11</v>
      </c>
      <c r="I37" s="43"/>
      <c r="J37" s="43"/>
      <c r="K37" s="43"/>
      <c r="L37" s="43"/>
      <c r="M37" s="43"/>
      <c r="N37" s="43"/>
      <c r="O37" s="43"/>
      <c r="P37" s="43"/>
      <c r="Q37" s="43"/>
      <c r="R37" s="43"/>
      <c r="S37" s="43"/>
      <c r="T37" s="43"/>
      <c r="U37" s="43"/>
      <c r="V37" s="43"/>
      <c r="W37" s="43"/>
      <c r="X37" s="43"/>
      <c r="Y37" s="43"/>
      <c r="Z37" s="43"/>
      <c r="AA37" s="43"/>
      <c r="AB37" s="43"/>
      <c r="AC37" s="43"/>
      <c r="AD37" s="43"/>
      <c r="AE37" s="43"/>
      <c r="AF37" s="43"/>
      <c r="AG37" s="43"/>
      <c r="AH37" s="43"/>
      <c r="AI37" s="43"/>
      <c r="AJ37" s="43"/>
      <c r="AK37" s="43"/>
      <c r="AL37" s="43"/>
      <c r="AM37" s="43"/>
      <c r="AN37" s="43"/>
      <c r="AO37" s="43"/>
      <c r="AP37" s="43"/>
      <c r="AQ37" s="43"/>
      <c r="AR37" s="43"/>
      <c r="AS37" s="43"/>
      <c r="AT37" s="43"/>
      <c r="AU37" s="43"/>
      <c r="AV37" s="43"/>
      <c r="AW37" s="43"/>
      <c r="AX37" s="43"/>
      <c r="AY37" s="43"/>
      <c r="AZ37" s="43"/>
      <c r="BA37" s="43"/>
      <c r="BB37" s="43"/>
      <c r="BC37" s="43"/>
      <c r="BD37" s="43"/>
      <c r="BE37" s="43"/>
      <c r="BF37" s="43"/>
      <c r="BG37" s="43"/>
      <c r="BH37" s="43"/>
      <c r="BI37" s="43"/>
      <c r="BJ37" s="43"/>
      <c r="BK37" s="43"/>
      <c r="BL37" s="43"/>
    </row>
    <row r="38" spans="1:64" ht="30" customHeight="1">
      <c r="B38" s="116" t="s">
        <v>52</v>
      </c>
      <c r="C38" s="117" t="s">
        <v>26</v>
      </c>
      <c r="D38" s="118">
        <v>0</v>
      </c>
      <c r="E38" s="119">
        <v>46109</v>
      </c>
      <c r="F38" s="119">
        <v>46122</v>
      </c>
      <c r="G38" s="12"/>
      <c r="H38" s="3">
        <f t="shared" ca="1" si="5"/>
        <v>14</v>
      </c>
      <c r="I38" s="43"/>
      <c r="J38" s="43"/>
      <c r="K38" s="43"/>
      <c r="L38" s="43"/>
      <c r="M38" s="43"/>
      <c r="N38" s="43"/>
      <c r="O38" s="43"/>
      <c r="P38" s="43"/>
      <c r="Q38" s="43"/>
      <c r="R38" s="43"/>
      <c r="S38" s="43"/>
      <c r="T38" s="43"/>
      <c r="U38" s="43"/>
      <c r="V38" s="43"/>
      <c r="W38" s="43"/>
      <c r="X38" s="43"/>
      <c r="Y38" s="43"/>
      <c r="Z38" s="43"/>
      <c r="AA38" s="43"/>
      <c r="AB38" s="43"/>
      <c r="AC38" s="43"/>
      <c r="AD38" s="43"/>
      <c r="AE38" s="43"/>
      <c r="AF38" s="43"/>
      <c r="AG38" s="43"/>
      <c r="AH38" s="43"/>
      <c r="AI38" s="43"/>
      <c r="AJ38" s="43"/>
      <c r="AK38" s="43"/>
      <c r="AL38" s="43"/>
      <c r="AM38" s="43"/>
      <c r="AN38" s="43"/>
      <c r="AO38" s="43"/>
      <c r="AP38" s="43"/>
      <c r="AQ38" s="43"/>
      <c r="AR38" s="43"/>
      <c r="AS38" s="43"/>
      <c r="AT38" s="43"/>
      <c r="AU38" s="43"/>
      <c r="AV38" s="43"/>
      <c r="AW38" s="43"/>
      <c r="AX38" s="43"/>
      <c r="AY38" s="43"/>
      <c r="AZ38" s="43"/>
      <c r="BA38" s="43"/>
      <c r="BB38" s="43"/>
      <c r="BC38" s="43"/>
      <c r="BD38" s="43"/>
      <c r="BE38" s="43"/>
      <c r="BF38" s="43"/>
      <c r="BG38" s="43"/>
      <c r="BH38" s="43"/>
      <c r="BI38" s="43"/>
      <c r="BJ38" s="43"/>
      <c r="BK38" s="43"/>
      <c r="BL38" s="43"/>
    </row>
    <row r="39" spans="1:64" ht="30" customHeight="1">
      <c r="B39" s="116" t="s">
        <v>53</v>
      </c>
      <c r="C39" s="117" t="s">
        <v>51</v>
      </c>
      <c r="D39" s="118">
        <v>0</v>
      </c>
      <c r="E39" s="119">
        <v>46113</v>
      </c>
      <c r="F39" s="119">
        <v>46124</v>
      </c>
      <c r="G39" s="12"/>
      <c r="H39" s="3">
        <f t="shared" ca="1" si="5"/>
        <v>12</v>
      </c>
      <c r="I39" s="43"/>
      <c r="J39" s="43"/>
      <c r="K39" s="43"/>
      <c r="L39" s="43"/>
      <c r="M39" s="43"/>
      <c r="N39" s="43"/>
      <c r="O39" s="43"/>
      <c r="P39" s="43"/>
      <c r="Q39" s="43"/>
      <c r="R39" s="43"/>
      <c r="S39" s="43"/>
      <c r="T39" s="43"/>
      <c r="U39" s="43"/>
      <c r="V39" s="43"/>
      <c r="W39" s="43"/>
      <c r="X39" s="43"/>
      <c r="Y39" s="43"/>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c r="AZ39" s="43"/>
      <c r="BA39" s="43"/>
      <c r="BB39" s="43"/>
      <c r="BC39" s="43"/>
      <c r="BD39" s="43"/>
      <c r="BE39" s="43"/>
      <c r="BF39" s="43"/>
      <c r="BG39" s="43"/>
      <c r="BH39" s="43"/>
      <c r="BI39" s="43"/>
      <c r="BJ39" s="43"/>
      <c r="BK39" s="43"/>
      <c r="BL39" s="43"/>
    </row>
    <row r="40" spans="1:64" ht="30" customHeight="1">
      <c r="B40" s="120" t="s">
        <v>54</v>
      </c>
      <c r="C40" s="121" t="s">
        <v>55</v>
      </c>
      <c r="D40" s="122">
        <v>0</v>
      </c>
      <c r="E40" s="123">
        <v>46118</v>
      </c>
      <c r="F40" s="123">
        <v>46127</v>
      </c>
      <c r="G40" s="12"/>
      <c r="H40" s="3"/>
      <c r="I40" s="43"/>
      <c r="J40" s="43"/>
      <c r="K40" s="43"/>
      <c r="L40" s="43"/>
      <c r="M40" s="43"/>
      <c r="N40" s="43"/>
      <c r="O40" s="43"/>
      <c r="P40" s="43"/>
      <c r="Q40" s="43"/>
      <c r="R40" s="43"/>
      <c r="S40" s="43"/>
      <c r="T40" s="43"/>
      <c r="U40" s="43"/>
      <c r="V40" s="43"/>
      <c r="W40" s="43"/>
      <c r="X40" s="43"/>
      <c r="Y40" s="43"/>
      <c r="Z40" s="43"/>
      <c r="AA40" s="43"/>
      <c r="AB40" s="43"/>
      <c r="AC40" s="43"/>
      <c r="AD40" s="43"/>
      <c r="AE40" s="43"/>
      <c r="AF40" s="43"/>
      <c r="AG40" s="43"/>
      <c r="AH40" s="43"/>
      <c r="AI40" s="43"/>
      <c r="AJ40" s="43"/>
      <c r="AK40" s="43"/>
      <c r="AL40" s="43"/>
      <c r="AM40" s="43"/>
      <c r="AN40" s="43"/>
      <c r="AO40" s="43"/>
      <c r="AP40" s="43"/>
      <c r="AQ40" s="43"/>
      <c r="AR40" s="43"/>
      <c r="AS40" s="43"/>
      <c r="AT40" s="43"/>
      <c r="AU40" s="43"/>
      <c r="AV40" s="43"/>
      <c r="AW40" s="43"/>
      <c r="AX40" s="43"/>
      <c r="AY40" s="43"/>
      <c r="AZ40" s="43"/>
      <c r="BA40" s="43"/>
      <c r="BB40" s="43"/>
      <c r="BC40" s="43"/>
      <c r="BD40" s="43"/>
      <c r="BE40" s="43"/>
      <c r="BF40" s="43"/>
      <c r="BG40" s="43"/>
      <c r="BH40" s="43"/>
      <c r="BI40" s="43"/>
      <c r="BJ40" s="43"/>
      <c r="BK40" s="43"/>
      <c r="BL40" s="43"/>
    </row>
    <row r="41" spans="1:64" ht="30" customHeight="1">
      <c r="A41" s="11"/>
      <c r="B41" s="124" t="s">
        <v>56</v>
      </c>
      <c r="C41" s="125"/>
      <c r="D41" s="126"/>
      <c r="E41" s="127"/>
      <c r="F41" s="128"/>
      <c r="G41" s="12"/>
      <c r="H41" s="3" t="str">
        <f t="shared" ca="1" si="5"/>
        <v/>
      </c>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38"/>
      <c r="AY41" s="38"/>
      <c r="AZ41" s="38"/>
      <c r="BA41" s="38"/>
      <c r="BB41" s="38"/>
      <c r="BC41" s="38"/>
      <c r="BD41" s="38"/>
      <c r="BE41" s="38"/>
      <c r="BF41" s="38"/>
      <c r="BG41" s="38"/>
      <c r="BH41" s="38"/>
      <c r="BI41" s="38"/>
      <c r="BJ41" s="38"/>
      <c r="BK41" s="38"/>
      <c r="BL41" s="38"/>
    </row>
    <row r="42" spans="1:64" ht="30" customHeight="1">
      <c r="A42" s="11"/>
      <c r="B42" s="129" t="s">
        <v>57</v>
      </c>
      <c r="C42" s="130" t="s">
        <v>15</v>
      </c>
      <c r="D42" s="131">
        <v>0</v>
      </c>
      <c r="E42" s="132">
        <v>46127</v>
      </c>
      <c r="F42" s="132">
        <v>46134</v>
      </c>
      <c r="G42" s="12"/>
      <c r="H42" s="3">
        <f t="shared" ca="1" si="5"/>
        <v>8</v>
      </c>
      <c r="I42" s="43"/>
      <c r="J42" s="43"/>
      <c r="K42" s="43"/>
      <c r="L42" s="43"/>
      <c r="M42" s="43"/>
      <c r="N42" s="43"/>
      <c r="O42" s="43"/>
      <c r="P42" s="43"/>
      <c r="Q42" s="43"/>
      <c r="R42" s="43"/>
      <c r="S42" s="43"/>
      <c r="T42" s="43"/>
      <c r="U42" s="43"/>
      <c r="V42" s="43"/>
      <c r="W42" s="43"/>
      <c r="X42" s="43"/>
      <c r="Y42" s="43"/>
      <c r="Z42" s="43"/>
      <c r="AA42" s="43"/>
      <c r="AB42" s="43"/>
      <c r="AC42" s="43"/>
      <c r="AD42" s="43"/>
      <c r="AE42" s="43"/>
      <c r="AF42" s="43"/>
      <c r="AG42" s="43"/>
      <c r="AH42" s="43"/>
      <c r="AI42" s="43"/>
      <c r="AJ42" s="43"/>
      <c r="AK42" s="43"/>
      <c r="AL42" s="43"/>
      <c r="AM42" s="43"/>
      <c r="AN42" s="43"/>
      <c r="AO42" s="43"/>
      <c r="AP42" s="43"/>
      <c r="AQ42" s="43"/>
      <c r="AR42" s="43"/>
      <c r="AS42" s="43"/>
      <c r="AT42" s="43"/>
      <c r="AU42" s="43"/>
      <c r="AV42" s="43"/>
      <c r="AW42" s="43"/>
      <c r="AX42" s="43"/>
      <c r="AY42" s="43"/>
      <c r="AZ42" s="43"/>
      <c r="BA42" s="43"/>
      <c r="BB42" s="43"/>
      <c r="BC42" s="43"/>
      <c r="BD42" s="43"/>
      <c r="BE42" s="43"/>
      <c r="BF42" s="43"/>
      <c r="BG42" s="43"/>
      <c r="BH42" s="43"/>
      <c r="BI42" s="43"/>
      <c r="BJ42" s="43"/>
      <c r="BK42" s="43"/>
      <c r="BL42" s="43"/>
    </row>
    <row r="43" spans="1:64" ht="30" customHeight="1">
      <c r="B43" s="129" t="s">
        <v>58</v>
      </c>
      <c r="C43" s="130" t="s">
        <v>15</v>
      </c>
      <c r="D43" s="131">
        <v>0</v>
      </c>
      <c r="E43" s="132">
        <v>46133</v>
      </c>
      <c r="F43" s="132">
        <v>44316</v>
      </c>
      <c r="G43" s="12"/>
      <c r="H43" s="3">
        <f t="shared" ca="1" si="5"/>
        <v>-1816</v>
      </c>
      <c r="I43" s="43"/>
      <c r="J43" s="43"/>
      <c r="K43" s="43"/>
      <c r="L43" s="43"/>
      <c r="M43" s="43"/>
      <c r="N43" s="43"/>
      <c r="O43" s="43"/>
      <c r="P43" s="43"/>
      <c r="Q43" s="43"/>
      <c r="R43" s="43"/>
      <c r="S43" s="43"/>
      <c r="T43" s="43"/>
      <c r="U43" s="48"/>
      <c r="V43" s="48"/>
      <c r="W43" s="43"/>
      <c r="X43" s="43"/>
      <c r="Y43" s="43"/>
      <c r="Z43" s="43"/>
      <c r="AA43" s="43"/>
      <c r="AB43" s="43"/>
      <c r="AC43" s="43"/>
      <c r="AD43" s="43"/>
      <c r="AE43" s="43"/>
      <c r="AF43" s="43"/>
      <c r="AG43" s="43"/>
      <c r="AH43" s="43"/>
      <c r="AI43" s="43"/>
      <c r="AJ43" s="43"/>
      <c r="AK43" s="43"/>
      <c r="AL43" s="43"/>
      <c r="AM43" s="43"/>
      <c r="AN43" s="43"/>
      <c r="AO43" s="43"/>
      <c r="AP43" s="43"/>
      <c r="AQ43" s="43"/>
      <c r="AR43" s="43"/>
      <c r="AS43" s="43"/>
      <c r="AT43" s="43"/>
      <c r="AU43" s="43"/>
      <c r="AV43" s="43"/>
      <c r="AW43" s="43"/>
      <c r="AX43" s="43"/>
      <c r="AY43" s="43"/>
      <c r="AZ43" s="43"/>
      <c r="BA43" s="43"/>
      <c r="BB43" s="43"/>
      <c r="BC43" s="43"/>
      <c r="BD43" s="43"/>
      <c r="BE43" s="43"/>
      <c r="BF43" s="43"/>
      <c r="BG43" s="43"/>
      <c r="BH43" s="43"/>
      <c r="BI43" s="43"/>
      <c r="BJ43" s="43"/>
      <c r="BK43" s="43"/>
      <c r="BL43" s="43"/>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43">
    <cfRule type="dataBar" priority="62">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9:BL13">
    <cfRule type="expression" dxfId="29" priority="45">
      <formula>AND(task_start&lt;=I$5,ROUNDDOWN((task_end-task_start+1)*task_progress,0)+task_start-1&gt;=I$5)</formula>
    </cfRule>
    <cfRule type="expression" dxfId="28" priority="46" stopIfTrue="1">
      <formula>AND(task_end&gt;=I$5,task_start&lt;J$5)</formula>
    </cfRule>
  </conditionalFormatting>
  <conditionalFormatting sqref="I15:BL18">
    <cfRule type="expression" dxfId="27" priority="43">
      <formula>AND(task_start&lt;=I$5,ROUNDDOWN((task_end-task_start+1)*task_progress,0)+task_start-1&gt;=I$5)</formula>
    </cfRule>
    <cfRule type="expression" dxfId="26" priority="44" stopIfTrue="1">
      <formula>AND(task_end&gt;=I$5,task_start&lt;J$5)</formula>
    </cfRule>
  </conditionalFormatting>
  <conditionalFormatting sqref="I21:BL23 I20:P20 R20:BL20">
    <cfRule type="expression" dxfId="25" priority="41">
      <formula>AND(task_start&lt;=I$5,ROUNDDOWN((task_end-task_start+1)*task_progress,0)+task_start-1&gt;=I$5)</formula>
    </cfRule>
    <cfRule type="expression" dxfId="24" priority="42" stopIfTrue="1">
      <formula>AND(task_end&gt;=I$5,task_start&lt;J$5)</formula>
    </cfRule>
  </conditionalFormatting>
  <conditionalFormatting sqref="I25:BL27">
    <cfRule type="expression" dxfId="23" priority="75">
      <formula>AND(task_start&lt;=I$5,ROUNDDOWN((task_end-task_start+1)*task_progress,0)+task_start-1&gt;=I$5)</formula>
    </cfRule>
    <cfRule type="expression" dxfId="22" priority="76" stopIfTrue="1">
      <formula>AND(task_end&gt;=I$5,task_start&lt;J$5)</formula>
    </cfRule>
  </conditionalFormatting>
  <conditionalFormatting sqref="I20:P20 R20:BL20 I4:BL7 I21:BL27 I9:BL19 I8 AM8 BD8">
    <cfRule type="expression" dxfId="21" priority="40">
      <formula>AND(TODAY()&gt;=I$5, TODAY()&lt;J$5)</formula>
    </cfRule>
  </conditionalFormatting>
  <conditionalFormatting sqref="Q20">
    <cfRule type="expression" dxfId="20" priority="79">
      <formula>AND(task_start&lt;=X$5,ROUNDDOWN((task_end-task_start+1)*task_progress,0)+task_start-1&gt;=X$5)</formula>
    </cfRule>
    <cfRule type="expression" dxfId="19" priority="80" stopIfTrue="1">
      <formula>AND(task_end&gt;=X$5,task_start&lt;Y$5)</formula>
    </cfRule>
  </conditionalFormatting>
  <conditionalFormatting sqref="Q20">
    <cfRule type="expression" dxfId="18" priority="82">
      <formula>AND(TODAY()&gt;=X$5, TODAY()&lt;Y$5)</formula>
    </cfRule>
  </conditionalFormatting>
  <conditionalFormatting sqref="I29:AG32 BC29:BL32">
    <cfRule type="expression" dxfId="17" priority="38">
      <formula>AND(task_start&lt;=I$5,ROUNDDOWN((task_end-task_start+1)*task_progress,0)+task_start-1&gt;=I$5)</formula>
    </cfRule>
    <cfRule type="expression" dxfId="16" priority="39" stopIfTrue="1">
      <formula>AND(task_end&gt;=I$5,task_start&lt;J$5)</formula>
    </cfRule>
  </conditionalFormatting>
  <conditionalFormatting sqref="I28:BL28 I29:AG32 BC29:BL32">
    <cfRule type="expression" dxfId="15" priority="37">
      <formula>AND(TODAY()&gt;=I$5, TODAY()&lt;J$5)</formula>
    </cfRule>
  </conditionalFormatting>
  <conditionalFormatting sqref="AH29:BB32">
    <cfRule type="expression" dxfId="14" priority="35">
      <formula>AND(task_start&lt;=AH$5,ROUNDDOWN((task_end-task_start+1)*task_progress,0)+task_start-1&gt;=AH$5)</formula>
    </cfRule>
    <cfRule type="expression" dxfId="13" priority="36" stopIfTrue="1">
      <formula>AND(task_end&gt;=AH$5,task_start&lt;AI$5)</formula>
    </cfRule>
  </conditionalFormatting>
  <conditionalFormatting sqref="AH29:BB32">
    <cfRule type="expression" dxfId="12" priority="34">
      <formula>AND(TODAY()&gt;=AH$5, TODAY()&lt;AI$5)</formula>
    </cfRule>
  </conditionalFormatting>
  <conditionalFormatting sqref="I37:AG40 BC37:BL40">
    <cfRule type="expression" dxfId="11" priority="14">
      <formula>AND(task_start&lt;=I$5,ROUNDDOWN((task_end-task_start+1)*task_progress,0)+task_start-1&gt;=I$5)</formula>
    </cfRule>
    <cfRule type="expression" dxfId="10" priority="15" stopIfTrue="1">
      <formula>AND(task_end&gt;=I$5,task_start&lt;J$5)</formula>
    </cfRule>
  </conditionalFormatting>
  <conditionalFormatting sqref="I36:BL36 I37:AG40 BC37:BL40">
    <cfRule type="expression" dxfId="9" priority="13">
      <formula>AND(TODAY()&gt;=I$5, TODAY()&lt;J$5)</formula>
    </cfRule>
  </conditionalFormatting>
  <conditionalFormatting sqref="AH37:BB40">
    <cfRule type="expression" dxfId="8" priority="11">
      <formula>AND(task_start&lt;=AH$5,ROUNDDOWN((task_end-task_start+1)*task_progress,0)+task_start-1&gt;=AH$5)</formula>
    </cfRule>
    <cfRule type="expression" dxfId="7" priority="12" stopIfTrue="1">
      <formula>AND(task_end&gt;=AH$5,task_start&lt;AI$5)</formula>
    </cfRule>
  </conditionalFormatting>
  <conditionalFormatting sqref="AH37:BB40">
    <cfRule type="expression" dxfId="6" priority="10">
      <formula>AND(TODAY()&gt;=AH$5, TODAY()&lt;AI$5)</formula>
    </cfRule>
  </conditionalFormatting>
  <conditionalFormatting sqref="I35:BL35 I34:P34 R34:BL34">
    <cfRule type="expression" dxfId="5" priority="5">
      <formula>AND(task_start&lt;=I$5,ROUNDDOWN((task_end-task_start+1)*task_progress,0)+task_start-1&gt;=I$5)</formula>
    </cfRule>
    <cfRule type="expression" dxfId="4" priority="6" stopIfTrue="1">
      <formula>AND(task_end&gt;=I$5,task_start&lt;J$5)</formula>
    </cfRule>
  </conditionalFormatting>
  <conditionalFormatting sqref="I34:P34 R34:BL34 I33:BL33 I35:BL35">
    <cfRule type="expression" dxfId="3" priority="4">
      <formula>AND(TODAY()&gt;=I$5, TODAY()&lt;J$5)</formula>
    </cfRule>
  </conditionalFormatting>
  <conditionalFormatting sqref="I42:BL43">
    <cfRule type="expression" dxfId="2" priority="2">
      <formula>AND(task_start&lt;=I$5,ROUNDDOWN((task_end-task_start+1)*task_progress,0)+task_start-1&gt;=I$5)</formula>
    </cfRule>
    <cfRule type="expression" dxfId="1" priority="3" stopIfTrue="1">
      <formula>AND(task_end&gt;=I$5,task_start&lt;J$5)</formula>
    </cfRule>
  </conditionalFormatting>
  <conditionalFormatting sqref="I41:BL43">
    <cfRule type="expression" dxfId="0" priority="1">
      <formula>AND(TODAY()&gt;=I$5, TODAY()&lt;J$5)</formula>
    </cfRule>
  </conditionalFormatting>
  <dataValidations count="12">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A41" xr:uid="{4F48FC41-E335-47F1-87AA-3333A52AD81C}"/>
    <dataValidation allowBlank="1" showInputMessage="1" showErrorMessage="1" prompt="Phase 3's sample block starts in cell B20." sqref="A19 A33" xr:uid="{956902D1-D3B5-416D-BB69-9362D193BC0A}"/>
    <dataValidation allowBlank="1" showInputMessage="1" showErrorMessage="1" prompt="Phase 4's sample block starts in cell B26." sqref="A24 A28 A36" xr:uid="{DE54E5DE-526D-4D71-8D03-E99B4AB2FEE5}"/>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D7:D43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15"/>
  <cols>
    <col min="1" max="1" width="87" style="4" customWidth="1"/>
    <col min="2" max="16384" width="9" style="1"/>
  </cols>
  <sheetData>
    <row r="1" spans="1:2" ht="46.5" customHeight="1"/>
    <row r="2" spans="1:2" s="6" customFormat="1" ht="15.6">
      <c r="A2" s="80" t="s">
        <v>59</v>
      </c>
      <c r="B2" s="5"/>
    </row>
    <row r="3" spans="1:2" s="8" customFormat="1" ht="27" customHeight="1">
      <c r="A3" s="81"/>
      <c r="B3" s="9"/>
    </row>
    <row r="4" spans="1:2" s="7" customFormat="1" ht="30">
      <c r="A4" s="82" t="s">
        <v>60</v>
      </c>
    </row>
    <row r="5" spans="1:2" ht="74.25" customHeight="1">
      <c r="A5" s="83" t="s">
        <v>61</v>
      </c>
    </row>
    <row r="6" spans="1:2" ht="26.25" customHeight="1">
      <c r="A6" s="82" t="s">
        <v>62</v>
      </c>
    </row>
    <row r="7" spans="1:2" s="4" customFormat="1" ht="205.15" customHeight="1">
      <c r="A7" s="84" t="s">
        <v>63</v>
      </c>
    </row>
    <row r="8" spans="1:2" s="7" customFormat="1" ht="30">
      <c r="A8" s="82" t="s">
        <v>64</v>
      </c>
    </row>
    <row r="9" spans="1:2" ht="41.45">
      <c r="A9" s="83" t="s">
        <v>65</v>
      </c>
    </row>
    <row r="10" spans="1:2" s="4" customFormat="1" ht="28.15" customHeight="1">
      <c r="A10" s="85" t="s">
        <v>66</v>
      </c>
    </row>
    <row r="11" spans="1:2" s="7" customFormat="1" ht="30">
      <c r="A11" s="82" t="s">
        <v>67</v>
      </c>
    </row>
    <row r="12" spans="1:2" ht="27.6">
      <c r="A12" s="83" t="s">
        <v>68</v>
      </c>
    </row>
    <row r="13" spans="1:2" s="4" customFormat="1" ht="28.15" customHeight="1">
      <c r="A13" s="85" t="s">
        <v>69</v>
      </c>
    </row>
    <row r="14" spans="1:2" s="7" customFormat="1" ht="30">
      <c r="A14" s="82" t="s">
        <v>70</v>
      </c>
    </row>
    <row r="15" spans="1:2" ht="75" customHeight="1">
      <c r="A15" s="83" t="s">
        <v>71</v>
      </c>
    </row>
    <row r="16" spans="1:2" ht="69">
      <c r="A16" s="83" t="s">
        <v>72</v>
      </c>
    </row>
    <row r="17" spans="1:1">
      <c r="A17" s="86"/>
    </row>
    <row r="18" spans="1:1">
      <c r="A18" s="86"/>
    </row>
    <row r="19" spans="1:1">
      <c r="A19" s="86"/>
    </row>
    <row r="20" spans="1:1">
      <c r="A20" s="86"/>
    </row>
    <row r="21" spans="1:1">
      <c r="A21" s="86"/>
    </row>
    <row r="22" spans="1:1">
      <c r="A22" s="86"/>
    </row>
    <row r="23" spans="1:1">
      <c r="A23" s="86"/>
    </row>
    <row r="24" spans="1:1">
      <c r="A24" s="86"/>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C774C-C873-43F2-B135-4FE7ABD9FB96}">
  <dimension ref="E7"/>
  <sheetViews>
    <sheetView workbookViewId="0">
      <selection activeCell="E7" sqref="E7"/>
    </sheetView>
  </sheetViews>
  <sheetFormatPr defaultRowHeight="14.25"/>
  <sheetData>
    <row r="7" spans="5:5">
      <c r="E7" s="8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2348D59-3426-404A-A0C5-6456F6613EDB}"/>
</file>

<file path=customXml/itemProps2.xml><?xml version="1.0" encoding="utf-8"?>
<ds:datastoreItem xmlns:ds="http://schemas.openxmlformats.org/officeDocument/2006/customXml" ds:itemID="{A82239A0-E68C-493F-BEE6-C77FEA397FD6}"/>
</file>

<file path=customXml/itemProps3.xml><?xml version="1.0" encoding="utf-8"?>
<ds:datastoreItem xmlns:ds="http://schemas.openxmlformats.org/officeDocument/2006/customXml" ds:itemID="{97245281-08F3-4104-84BD-39F3D8CFB195}"/>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Corneliussen, Zac Conrad - (zcc)</cp:lastModifiedBy>
  <cp:revision/>
  <dcterms:created xsi:type="dcterms:W3CDTF">2026-02-03T04:42:15Z</dcterms:created>
  <dcterms:modified xsi:type="dcterms:W3CDTF">2026-03-31T02:16:49Z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